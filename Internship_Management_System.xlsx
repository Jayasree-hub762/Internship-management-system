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Dashboard" sheetId="2" state="visible" r:id="rId4"/>
    <sheet name="Students" sheetId="3" state="visible" r:id="rId5"/>
    <sheet name="Tasks" sheetId="4" state="visible" r:id="rId6"/>
    <sheet name="Feedback" sheetId="5" state="visible" r:id="rId7"/>
    <sheet name="Certificates" sheetId="6" state="visible" r:id="rId8"/>
    <sheet name="Automation_Logs" sheetId="7" state="visible" r:id="rId9"/>
    <sheet name="Confi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Must be unique. Dark-blue headers = required columns. Brown headers = helper columns (do not delete).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Full date AND time, e.g. 2026-11-09 17:00 (Asia/Kolkata).</t>
        </r>
      </text>
    </comment>
    <comment ref="Q1" authorId="0">
      <text>
        <r>
          <rPr>
            <sz val="10"/>
            <rFont val="Arial"/>
            <family val="2"/>
          </rPr>
          <t xml:space="preserve">Make.com only processes rows where Assignment_Status = Ready AND Task_Valid = OK. It sets Processing, then Done. This prevents duplicate events/emails.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Keeps mentor evaluations and student feedback separate.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Administrator name. Certificates are only generated when Eligible AND Approved_By is filled AND Certificate_ID is empty.</t>
        </r>
      </text>
    </comment>
  </commentList>
</comments>
</file>

<file path=xl/sharedStrings.xml><?xml version="1.0" encoding="utf-8"?>
<sst xmlns="http://schemas.openxmlformats.org/spreadsheetml/2006/main" count="176" uniqueCount="134">
  <si>
    <t xml:space="preserve">Internship_Management_System - how to use this workbook</t>
  </si>
  <si>
    <t xml:space="preserve">1. Dark-blue headers = required columns (exact names; Make.com maps by column). Brown headers = helper columns for automation - do not delete or rename.</t>
  </si>
  <si>
    <t xml:space="preserve">2. The 3 rows marked (TEST) are fictional. Replace YOUR.EMAIL with your own address (Gmail + aliases like name+s1@gmail.com all arrive in one inbox). Delete test rows before importing real students.</t>
  </si>
  <si>
    <t xml:space="preserve">3. Never invent student data: leave blanks and fix them. Students!N/O and Tasks!U flag invalid emails, duplicates and bad task rows.</t>
  </si>
  <si>
    <t xml:space="preserve">4. Tasks: set Assignment_Status = Ready only for rows with Task_Valid = OK. Make.com changes it to Processing, then Done (prevents duplicate emails/events).</t>
  </si>
  <si>
    <t xml:space="preserve">5. Fill the Config sheet (organization, signatory, admin email, approved certificate rules) before certificates.</t>
  </si>
  <si>
    <t xml:space="preserve">6. Keep this sheet private. Share only with the administrator and the Make.com Google connection.</t>
  </si>
  <si>
    <t xml:space="preserve">Metric</t>
  </si>
  <si>
    <t xml:space="preserve">Value</t>
  </si>
  <si>
    <t xml:space="preserve">All values are live formulas over the other sheets. Rows labelled (TEST) are fictional test data.</t>
  </si>
  <si>
    <t xml:space="preserve">Total registered students</t>
  </si>
  <si>
    <t xml:space="preserve">Active students</t>
  </si>
  <si>
    <t xml:space="preserve">Students with invalid email or duplicate</t>
  </si>
  <si>
    <t xml:space="preserve">Total assigned tasks</t>
  </si>
  <si>
    <t xml:space="preserve">Total task records</t>
  </si>
  <si>
    <t xml:space="preserve">Completed tasks</t>
  </si>
  <si>
    <t xml:space="preserve">Pending tasks</t>
  </si>
  <si>
    <t xml:space="preserve">Overdue tasks</t>
  </si>
  <si>
    <t xml:space="preserve">Tasks awaiting evaluation</t>
  </si>
  <si>
    <t xml:space="preserve">Students with pending feedback (no student rating yet)</t>
  </si>
  <si>
    <t xml:space="preserve">Students eligible for certificates</t>
  </si>
  <si>
    <t xml:space="preserve">Certificates generated</t>
  </si>
  <si>
    <t xml:space="preserve">Certificates emailed</t>
  </si>
  <si>
    <t xml:space="preserve">Failed automation actions</t>
  </si>
  <si>
    <t xml:space="preserve">Student_ID</t>
  </si>
  <si>
    <t xml:space="preserve">Full_Name</t>
  </si>
  <si>
    <t xml:space="preserve">Email</t>
  </si>
  <si>
    <t xml:space="preserve">Phone</t>
  </si>
  <si>
    <t xml:space="preserve">College</t>
  </si>
  <si>
    <t xml:space="preserve">Department</t>
  </si>
  <si>
    <t xml:space="preserve">Year_of_Study</t>
  </si>
  <si>
    <t xml:space="preserve">Internship_Domain</t>
  </si>
  <si>
    <t xml:space="preserve">Start_Date</t>
  </si>
  <si>
    <t xml:space="preserve">End_Date</t>
  </si>
  <si>
    <t xml:space="preserve">Mentor_Name</t>
  </si>
  <si>
    <t xml:space="preserve">Mentor_Email</t>
  </si>
  <si>
    <t xml:space="preserve">Student_Status</t>
  </si>
  <si>
    <t xml:space="preserve">Email_Valid (formula)</t>
  </si>
  <si>
    <t xml:space="preserve">Duplicate_Email (formula)</t>
  </si>
  <si>
    <t xml:space="preserve">TEST-S001</t>
  </si>
  <si>
    <t xml:space="preserve">Test Student One (TEST)</t>
  </si>
  <si>
    <t xml:space="preserve">YOUR.EMAIL+s1@gmail.com</t>
  </si>
  <si>
    <t xml:space="preserve">0000000001</t>
  </si>
  <si>
    <t xml:space="preserve">TEST College</t>
  </si>
  <si>
    <t xml:space="preserve">CSE</t>
  </si>
  <si>
    <t xml:space="preserve">3</t>
  </si>
  <si>
    <t xml:space="preserve">Data Analytics</t>
  </si>
  <si>
    <t xml:space="preserve">Test Mentor (TEST)</t>
  </si>
  <si>
    <t xml:space="preserve">YOUR.EMAIL+mentor@gmail.com</t>
  </si>
  <si>
    <t xml:space="preserve">Active</t>
  </si>
  <si>
    <t xml:space="preserve">TEST-S002</t>
  </si>
  <si>
    <t xml:space="preserve">Test Student Two (TEST)</t>
  </si>
  <si>
    <t xml:space="preserve">YOUR.EMAIL+s2@gmail.com</t>
  </si>
  <si>
    <t xml:space="preserve">0000000002</t>
  </si>
  <si>
    <t xml:space="preserve">IT</t>
  </si>
  <si>
    <t xml:space="preserve">2</t>
  </si>
  <si>
    <t xml:space="preserve">TEST-S003</t>
  </si>
  <si>
    <t xml:space="preserve">Test Student Three (TEST)</t>
  </si>
  <si>
    <t xml:space="preserve">YOUR.EMAIL+s3@gmail.com</t>
  </si>
  <si>
    <t xml:space="preserve">0000000003</t>
  </si>
  <si>
    <t xml:space="preserve">ECE</t>
  </si>
  <si>
    <t xml:space="preserve">4</t>
  </si>
  <si>
    <t xml:space="preserve">Task_ID</t>
  </si>
  <si>
    <t xml:space="preserve">Task_Title</t>
  </si>
  <si>
    <t xml:space="preserve">Task_Description</t>
  </si>
  <si>
    <t xml:space="preserve">Deliverables</t>
  </si>
  <si>
    <t xml:space="preserve">Start_Time</t>
  </si>
  <si>
    <t xml:space="preserve">Deadline</t>
  </si>
  <si>
    <t xml:space="preserve">Priority</t>
  </si>
  <si>
    <t xml:space="preserve">Task_Status</t>
  </si>
  <si>
    <t xml:space="preserve">Submission_Link</t>
  </si>
  <si>
    <t xml:space="preserve">Submission_Date</t>
  </si>
  <si>
    <t xml:space="preserve">Score</t>
  </si>
  <si>
    <t xml:space="preserve">Mentor_Feedback</t>
  </si>
  <si>
    <t xml:space="preserve">Notification_Status</t>
  </si>
  <si>
    <t xml:space="preserve">Assignment_Status</t>
  </si>
  <si>
    <t xml:space="preserve">Calendar_Event_ID</t>
  </si>
  <si>
    <t xml:space="preserve">Reminder_Status</t>
  </si>
  <si>
    <t xml:space="preserve">Overdue_Notified</t>
  </si>
  <si>
    <t xml:space="preserve">Task_Valid (formula)</t>
  </si>
  <si>
    <t xml:space="preserve">TEST-T001</t>
  </si>
  <si>
    <t xml:space="preserve">Data Cleaning (TEST)</t>
  </si>
  <si>
    <t xml:space="preserve">Clean the sample dataset.</t>
  </si>
  <si>
    <t xml:space="preserve">Notebook + summary</t>
  </si>
  <si>
    <t xml:space="preserve">10:00</t>
  </si>
  <si>
    <t xml:space="preserve">High</t>
  </si>
  <si>
    <t xml:space="preserve">Not Started</t>
  </si>
  <si>
    <t xml:space="preserve">Pending</t>
  </si>
  <si>
    <t xml:space="preserve">Ready</t>
  </si>
  <si>
    <t xml:space="preserve">TEST-T002</t>
  </si>
  <si>
    <t xml:space="preserve">TEST-T003</t>
  </si>
  <si>
    <t xml:space="preserve">Medium</t>
  </si>
  <si>
    <t xml:space="preserve">Hold</t>
  </si>
  <si>
    <t xml:space="preserve">Feedback_ID</t>
  </si>
  <si>
    <t xml:space="preserve">Mentor_Score</t>
  </si>
  <si>
    <t xml:space="preserve">Mentor_Comments</t>
  </si>
  <si>
    <t xml:space="preserve">Student_Rating</t>
  </si>
  <si>
    <t xml:space="preserve">Student_Comments</t>
  </si>
  <si>
    <t xml:space="preserve">Feedback_Date</t>
  </si>
  <si>
    <t xml:space="preserve">Feedback_Status</t>
  </si>
  <si>
    <t xml:space="preserve">Feedback_Type</t>
  </si>
  <si>
    <t xml:space="preserve">Student_Name</t>
  </si>
  <si>
    <t xml:space="preserve">Completion_Status</t>
  </si>
  <si>
    <t xml:space="preserve">Certificate_Eligibility</t>
  </si>
  <si>
    <t xml:space="preserve">Certificate_ID</t>
  </si>
  <si>
    <t xml:space="preserve">Certificate_Link</t>
  </si>
  <si>
    <t xml:space="preserve">Email_Status</t>
  </si>
  <si>
    <t xml:space="preserve">Email_Sent_Date</t>
  </si>
  <si>
    <t xml:space="preserve">Approved_By</t>
  </si>
  <si>
    <t xml:space="preserve">Student_Email</t>
  </si>
  <si>
    <t xml:space="preserve">Timestamp</t>
  </si>
  <si>
    <t xml:space="preserve">Scenario_Name</t>
  </si>
  <si>
    <t xml:space="preserve">Action</t>
  </si>
  <si>
    <t xml:space="preserve">Status</t>
  </si>
  <si>
    <t xml:space="preserve">Error_Message</t>
  </si>
  <si>
    <t xml:space="preserve">Setting</t>
  </si>
  <si>
    <t xml:space="preserve">Note</t>
  </si>
  <si>
    <t xml:space="preserve">Timezone</t>
  </si>
  <si>
    <t xml:space="preserve">Asia/Kolkata</t>
  </si>
  <si>
    <t xml:space="preserve">Set the same timezone in Make.com scenario settings and Google Calendar</t>
  </si>
  <si>
    <t xml:space="preserve">Reminder_Hours_Before_Deadline</t>
  </si>
  <si>
    <t xml:space="preserve">Reminder sent when deadline is within this many hours</t>
  </si>
  <si>
    <t xml:space="preserve">Organization_Name</t>
  </si>
  <si>
    <t xml:space="preserve">ADMIN MUST SUPPLY official name</t>
  </si>
  <si>
    <t xml:space="preserve">Authorized_Signatory</t>
  </si>
  <si>
    <t xml:space="preserve">ADMIN MUST SUPPLY - never invent</t>
  </si>
  <si>
    <t xml:space="preserve">Admin_Email</t>
  </si>
  <si>
    <t xml:space="preserve">Receives failure alerts</t>
  </si>
  <si>
    <t xml:space="preserve">Min_Average_Score_For_Certificate</t>
  </si>
  <si>
    <t xml:space="preserve">ADMIN MUST SUPPLY approved rule (blank = not set)</t>
  </si>
  <si>
    <t xml:space="preserve">Student_Feedback_Required</t>
  </si>
  <si>
    <t xml:space="preserve">Yes/No - approved rule</t>
  </si>
  <si>
    <t xml:space="preserve">Certificates_Drive_Folder_Link</t>
  </si>
  <si>
    <t xml:space="preserve">Create a private Drive folder and paste link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</si>
</sst>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6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7</v>
      </c>
      <c r="B1" s="3" t="s">
        <v>8</v>
      </c>
      <c r="D1" s="4" t="s">
        <v>9</v>
      </c>
    </row>
    <row r="2" customFormat="false" ht="15" hidden="false" customHeight="false" outlineLevel="0" collapsed="false">
      <c r="A2" s="0" t="s">
        <v>10</v>
      </c>
      <c r="B2" s="0" t="n">
        <f aca="false">COUNTA(Students!A2:A500)</f>
        <v>3</v>
      </c>
    </row>
    <row r="3" customFormat="false" ht="15" hidden="false" customHeight="false" outlineLevel="0" collapsed="false">
      <c r="A3" s="0" t="s">
        <v>11</v>
      </c>
      <c r="B3" s="0" t="n">
        <f aca="false">COUNTIF(Students!M2:M500,"Active")</f>
        <v>3</v>
      </c>
    </row>
    <row r="4" customFormat="false" ht="15" hidden="false" customHeight="false" outlineLevel="0" collapsed="false">
      <c r="A4" s="0" t="s">
        <v>12</v>
      </c>
      <c r="B4" s="0" t="n">
        <f aca="false">COUNTIF(Students!N2:N500,"INVALID")+COUNTIF(Students!O2:O500,"DUPLICATE")</f>
        <v>0</v>
      </c>
    </row>
    <row r="5" customFormat="false" ht="15" hidden="false" customHeight="false" outlineLevel="0" collapsed="false">
      <c r="A5" s="0" t="s">
        <v>13</v>
      </c>
      <c r="B5" s="0" t="n">
        <f aca="false">COUNTIF(Tasks!Q2:Q1000,"Done")</f>
        <v>0</v>
      </c>
    </row>
    <row r="6" customFormat="false" ht="15" hidden="false" customHeight="false" outlineLevel="0" collapsed="false">
      <c r="A6" s="0" t="s">
        <v>14</v>
      </c>
      <c r="B6" s="0" t="n">
        <f aca="false">COUNTA(Tasks!A2:A1000)</f>
        <v>3</v>
      </c>
    </row>
    <row r="7" customFormat="false" ht="15" hidden="false" customHeight="false" outlineLevel="0" collapsed="false">
      <c r="A7" s="0" t="s">
        <v>15</v>
      </c>
      <c r="B7" s="0" t="n">
        <f aca="false">COUNTIF(Tasks!K2:K1000,"Completed")</f>
        <v>0</v>
      </c>
    </row>
    <row r="8" customFormat="false" ht="15" hidden="false" customHeight="false" outlineLevel="0" collapsed="false">
      <c r="A8" s="0" t="s">
        <v>16</v>
      </c>
      <c r="B8" s="0" t="n">
        <f aca="false">B6-COUNTIF(Tasks!K2:K1000,"Completed")-COUNTIF(Tasks!K2:K1000,"Cancelled")</f>
        <v>3</v>
      </c>
    </row>
    <row r="9" customFormat="false" ht="15" hidden="false" customHeight="false" outlineLevel="0" collapsed="false">
      <c r="A9" s="0" t="s">
        <v>17</v>
      </c>
      <c r="B9" s="0" t="n">
        <f aca="true">COUNTIFS(Tasks!H2:H1000,"&lt;"&amp;NOW(),Tasks!K2:K1000,"&lt;&gt;Completed",Tasks!K2:K1000,"&lt;&gt;Cancelled",Tasks!K2:K1000,"&lt;&gt;Submitted",Tasks!K2:K1000,"&lt;&gt;Under Review")</f>
        <v>0</v>
      </c>
    </row>
    <row r="10" customFormat="false" ht="15" hidden="false" customHeight="false" outlineLevel="0" collapsed="false">
      <c r="A10" s="0" t="s">
        <v>18</v>
      </c>
      <c r="B10" s="0" t="n">
        <f aca="false">COUNTIF(Tasks!K2:K1000,"Submitted")+COUNTIF(Tasks!K2:K1000,"Under Review")</f>
        <v>0</v>
      </c>
    </row>
    <row r="11" customFormat="false" ht="15" hidden="false" customHeight="false" outlineLevel="0" collapsed="false">
      <c r="A11" s="0" t="s">
        <v>19</v>
      </c>
      <c r="B11" s="0" t="n">
        <f aca="false">MAX(0,B2-COUNTIFS(Feedback!J2:J1000,"Student Feedback"))</f>
        <v>3</v>
      </c>
    </row>
    <row r="12" customFormat="false" ht="15" hidden="false" customHeight="false" outlineLevel="0" collapsed="false">
      <c r="A12" s="0" t="s">
        <v>20</v>
      </c>
      <c r="B12" s="0" t="n">
        <f aca="false">COUNTIF(Certificates!G2:G500,"Eligible")</f>
        <v>0</v>
      </c>
    </row>
    <row r="13" customFormat="false" ht="15" hidden="false" customHeight="false" outlineLevel="0" collapsed="false">
      <c r="A13" s="0" t="s">
        <v>21</v>
      </c>
      <c r="B13" s="0" t="n">
        <f aca="false">COUNTIF(Certificates!H2:H500,"?*")</f>
        <v>0</v>
      </c>
    </row>
    <row r="14" customFormat="false" ht="15" hidden="false" customHeight="false" outlineLevel="0" collapsed="false">
      <c r="A14" s="0" t="s">
        <v>22</v>
      </c>
      <c r="B14" s="0" t="n">
        <f aca="false">COUNTIF(Certificates!J2:J500,"Sent")</f>
        <v>0</v>
      </c>
    </row>
    <row r="15" customFormat="false" ht="15" hidden="false" customHeight="false" outlineLevel="0" collapsed="false">
      <c r="A15" s="0" t="s">
        <v>23</v>
      </c>
      <c r="B15" s="0" t="n">
        <f aca="false">COUNTIF(Automation_Logs!F2:F5000,"Failed")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17"/>
    <col collapsed="false" customWidth="true" hidden="false" outlineLevel="0" max="8" min="8" style="0" width="21"/>
    <col collapsed="false" customWidth="true" hidden="false" outlineLevel="0" max="12" min="9" style="0" width="16"/>
    <col collapsed="false" customWidth="true" hidden="false" outlineLevel="0" max="13" min="13" style="0" width="18"/>
    <col collapsed="false" customWidth="true" hidden="false" outlineLevel="0" max="14" min="14" style="0" width="25"/>
    <col collapsed="false" customWidth="true" hidden="false" outlineLevel="0" max="15" min="15" style="0" width="29"/>
  </cols>
  <sheetData>
    <row r="1" customFormat="false" ht="31.5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6" t="s">
        <v>37</v>
      </c>
      <c r="O1" s="6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 t="s">
        <v>46</v>
      </c>
      <c r="I2" s="7" t="n">
        <v>46328</v>
      </c>
      <c r="J2" s="7" t="n">
        <v>46374</v>
      </c>
      <c r="K2" s="8" t="s">
        <v>47</v>
      </c>
      <c r="L2" s="8" t="s">
        <v>48</v>
      </c>
      <c r="M2" s="8" t="s">
        <v>49</v>
      </c>
      <c r="N2" s="0" t="str">
        <f aca="false">IF(C2="","",IF(AND(ISNUMBER(FIND("@",C2)),ISNUMBER(FIND(".",C2,FIND("@",C2))),ISERROR(FIND(" ",C2))),"OK","INVALID"))</f>
        <v>OK</v>
      </c>
      <c r="O2" s="0" t="str">
        <f aca="false">IF(C2="","",IF(COUNTIF($C$2:$C$500,C2)&gt;1,"DUPLICATE","OK"))</f>
        <v>OK</v>
      </c>
    </row>
    <row r="3" customFormat="false" ht="15" hidden="false" customHeight="false" outlineLevel="0" collapsed="false">
      <c r="A3" s="0" t="s">
        <v>50</v>
      </c>
      <c r="B3" s="0" t="s">
        <v>51</v>
      </c>
      <c r="C3" s="0" t="s">
        <v>52</v>
      </c>
      <c r="D3" s="0" t="s">
        <v>53</v>
      </c>
      <c r="E3" s="0" t="s">
        <v>43</v>
      </c>
      <c r="F3" s="0" t="s">
        <v>54</v>
      </c>
      <c r="G3" s="0" t="s">
        <v>55</v>
      </c>
      <c r="H3" s="0" t="s">
        <v>46</v>
      </c>
      <c r="I3" s="7" t="n">
        <v>46328</v>
      </c>
      <c r="J3" s="7" t="n">
        <v>46374</v>
      </c>
      <c r="K3" s="8" t="s">
        <v>47</v>
      </c>
      <c r="L3" s="8" t="s">
        <v>48</v>
      </c>
      <c r="M3" s="8" t="s">
        <v>49</v>
      </c>
      <c r="N3" s="0" t="str">
        <f aca="false">IF(C3="","",IF(AND(ISNUMBER(FIND("@",C3)),ISNUMBER(FIND(".",C3,FIND("@",C3))),ISERROR(FIND(" ",C3))),"OK","INVALID"))</f>
        <v>OK</v>
      </c>
      <c r="O3" s="0" t="str">
        <f aca="false">IF(C3="","",IF(COUNTIF($C$2:$C$500,C3)&gt;1,"DUPLICATE","OK"))</f>
        <v>OK</v>
      </c>
    </row>
    <row r="4" customFormat="false" ht="15" hidden="false" customHeight="false" outlineLevel="0" collapsed="false">
      <c r="A4" s="0" t="s">
        <v>56</v>
      </c>
      <c r="B4" s="0" t="s">
        <v>57</v>
      </c>
      <c r="C4" s="0" t="s">
        <v>58</v>
      </c>
      <c r="D4" s="0" t="s">
        <v>59</v>
      </c>
      <c r="E4" s="0" t="s">
        <v>43</v>
      </c>
      <c r="F4" s="0" t="s">
        <v>60</v>
      </c>
      <c r="G4" s="0" t="s">
        <v>61</v>
      </c>
      <c r="H4" s="0" t="s">
        <v>46</v>
      </c>
      <c r="I4" s="7" t="n">
        <v>46328</v>
      </c>
      <c r="J4" s="7" t="n">
        <v>46374</v>
      </c>
      <c r="K4" s="8" t="s">
        <v>47</v>
      </c>
      <c r="L4" s="8" t="s">
        <v>48</v>
      </c>
      <c r="M4" s="8" t="s">
        <v>49</v>
      </c>
      <c r="N4" s="0" t="str">
        <f aca="false">IF(C4="","",IF(AND(ISNUMBER(FIND("@",C4)),ISNUMBER(FIND(".",C4,FIND("@",C4))),ISERROR(FIND(" ",C4))),"OK","INVALID"))</f>
        <v>OK</v>
      </c>
      <c r="O4" s="0" t="str">
        <f aca="false">IF(C4="","",IF(COUNTIF($C$2:$C$500,C4)&gt;1,"DUPLICATE","OK"))</f>
        <v>OK</v>
      </c>
    </row>
    <row r="5" customFormat="false" ht="15" hidden="false" customHeight="false" outlineLevel="0" collapsed="false">
      <c r="I5" s="7"/>
      <c r="J5" s="7"/>
      <c r="M5" s="8"/>
      <c r="N5" s="0" t="str">
        <f aca="false">IF(C5="","",IF(AND(ISNUMBER(FIND("@",C5)),ISNUMBER(FIND(".",C5,FIND("@",C5))),ISERROR(FIND(" ",C5))),"OK","INVALID"))</f>
        <v/>
      </c>
      <c r="O5" s="0" t="str">
        <f aca="false">IF(C5="","",IF(COUNTIF($C$2:$C$500,C5)&gt;1,"DUPLICATE","OK"))</f>
        <v/>
      </c>
    </row>
    <row r="6" customFormat="false" ht="15" hidden="false" customHeight="false" outlineLevel="0" collapsed="false">
      <c r="I6" s="7"/>
      <c r="J6" s="7"/>
      <c r="M6" s="8"/>
      <c r="N6" s="0" t="str">
        <f aca="false">IF(C6="","",IF(AND(ISNUMBER(FIND("@",C6)),ISNUMBER(FIND(".",C6,FIND("@",C6))),ISERROR(FIND(" ",C6))),"OK","INVALID"))</f>
        <v/>
      </c>
      <c r="O6" s="0" t="str">
        <f aca="false">IF(C6="","",IF(COUNTIF($C$2:$C$500,C6)&gt;1,"DUPLICATE","OK"))</f>
        <v/>
      </c>
    </row>
    <row r="7" customFormat="false" ht="15" hidden="false" customHeight="false" outlineLevel="0" collapsed="false">
      <c r="I7" s="7"/>
      <c r="J7" s="7"/>
      <c r="M7" s="8"/>
      <c r="N7" s="0" t="str">
        <f aca="false">IF(C7="","",IF(AND(ISNUMBER(FIND("@",C7)),ISNUMBER(FIND(".",C7,FIND("@",C7))),ISERROR(FIND(" ",C7))),"OK","INVALID"))</f>
        <v/>
      </c>
      <c r="O7" s="0" t="str">
        <f aca="false">IF(C7="","",IF(COUNTIF($C$2:$C$500,C7)&gt;1,"DUPLICATE","OK"))</f>
        <v/>
      </c>
    </row>
    <row r="8" customFormat="false" ht="15" hidden="false" customHeight="false" outlineLevel="0" collapsed="false">
      <c r="I8" s="7"/>
      <c r="J8" s="7"/>
      <c r="M8" s="8"/>
      <c r="N8" s="0" t="str">
        <f aca="false">IF(C8="","",IF(AND(ISNUMBER(FIND("@",C8)),ISNUMBER(FIND(".",C8,FIND("@",C8))),ISERROR(FIND(" ",C8))),"OK","INVALID"))</f>
        <v/>
      </c>
      <c r="O8" s="0" t="str">
        <f aca="false">IF(C8="","",IF(COUNTIF($C$2:$C$500,C8)&gt;1,"DUPLICATE","OK"))</f>
        <v/>
      </c>
    </row>
    <row r="9" customFormat="false" ht="15" hidden="false" customHeight="false" outlineLevel="0" collapsed="false">
      <c r="I9" s="7"/>
      <c r="J9" s="7"/>
      <c r="M9" s="8"/>
      <c r="N9" s="0" t="str">
        <f aca="false">IF(C9="","",IF(AND(ISNUMBER(FIND("@",C9)),ISNUMBER(FIND(".",C9,FIND("@",C9))),ISERROR(FIND(" ",C9))),"OK","INVALID"))</f>
        <v/>
      </c>
      <c r="O9" s="0" t="str">
        <f aca="false">IF(C9="","",IF(COUNTIF($C$2:$C$500,C9)&gt;1,"DUPLICATE","OK"))</f>
        <v/>
      </c>
    </row>
    <row r="10" customFormat="false" ht="15" hidden="false" customHeight="false" outlineLevel="0" collapsed="false">
      <c r="I10" s="7"/>
      <c r="J10" s="7"/>
      <c r="M10" s="8"/>
      <c r="N10" s="0" t="str">
        <f aca="false">IF(C10="","",IF(AND(ISNUMBER(FIND("@",C10)),ISNUMBER(FIND(".",C10,FIND("@",C10))),ISERROR(FIND(" ",C10))),"OK","INVALID"))</f>
        <v/>
      </c>
      <c r="O10" s="0" t="str">
        <f aca="false">IF(C10="","",IF(COUNTIF($C$2:$C$500,C10)&gt;1,"DUPLICATE","OK"))</f>
        <v/>
      </c>
    </row>
    <row r="11" customFormat="false" ht="15" hidden="false" customHeight="false" outlineLevel="0" collapsed="false">
      <c r="I11" s="7"/>
      <c r="J11" s="7"/>
      <c r="M11" s="8"/>
      <c r="N11" s="0" t="str">
        <f aca="false">IF(C11="","",IF(AND(ISNUMBER(FIND("@",C11)),ISNUMBER(FIND(".",C11,FIND("@",C11))),ISERROR(FIND(" ",C11))),"OK","INVALID"))</f>
        <v/>
      </c>
      <c r="O11" s="0" t="str">
        <f aca="false">IF(C11="","",IF(COUNTIF($C$2:$C$500,C11)&gt;1,"DUPLICATE","OK"))</f>
        <v/>
      </c>
    </row>
    <row r="12" customFormat="false" ht="15" hidden="false" customHeight="false" outlineLevel="0" collapsed="false">
      <c r="I12" s="7"/>
      <c r="J12" s="7"/>
      <c r="M12" s="8"/>
      <c r="N12" s="0" t="str">
        <f aca="false">IF(C12="","",IF(AND(ISNUMBER(FIND("@",C12)),ISNUMBER(FIND(".",C12,FIND("@",C12))),ISERROR(FIND(" ",C12))),"OK","INVALID"))</f>
        <v/>
      </c>
      <c r="O12" s="0" t="str">
        <f aca="false">IF(C12="","",IF(COUNTIF($C$2:$C$500,C12)&gt;1,"DUPLICATE","OK"))</f>
        <v/>
      </c>
    </row>
    <row r="13" customFormat="false" ht="15" hidden="false" customHeight="false" outlineLevel="0" collapsed="false">
      <c r="I13" s="7"/>
      <c r="J13" s="7"/>
      <c r="M13" s="8"/>
      <c r="N13" s="0" t="str">
        <f aca="false">IF(C13="","",IF(AND(ISNUMBER(FIND("@",C13)),ISNUMBER(FIND(".",C13,FIND("@",C13))),ISERROR(FIND(" ",C13))),"OK","INVALID"))</f>
        <v/>
      </c>
      <c r="O13" s="0" t="str">
        <f aca="false">IF(C13="","",IF(COUNTIF($C$2:$C$500,C13)&gt;1,"DUPLICATE","OK"))</f>
        <v/>
      </c>
    </row>
    <row r="14" customFormat="false" ht="15" hidden="false" customHeight="false" outlineLevel="0" collapsed="false">
      <c r="I14" s="7"/>
      <c r="J14" s="7"/>
      <c r="M14" s="8"/>
      <c r="N14" s="0" t="str">
        <f aca="false">IF(C14="","",IF(AND(ISNUMBER(FIND("@",C14)),ISNUMBER(FIND(".",C14,FIND("@",C14))),ISERROR(FIND(" ",C14))),"OK","INVALID"))</f>
        <v/>
      </c>
      <c r="O14" s="0" t="str">
        <f aca="false">IF(C14="","",IF(COUNTIF($C$2:$C$500,C14)&gt;1,"DUPLICATE","OK"))</f>
        <v/>
      </c>
    </row>
    <row r="15" customFormat="false" ht="15" hidden="false" customHeight="false" outlineLevel="0" collapsed="false">
      <c r="I15" s="7"/>
      <c r="J15" s="7"/>
      <c r="M15" s="8"/>
      <c r="N15" s="0" t="str">
        <f aca="false">IF(C15="","",IF(AND(ISNUMBER(FIND("@",C15)),ISNUMBER(FIND(".",C15,FIND("@",C15))),ISERROR(FIND(" ",C15))),"OK","INVALID"))</f>
        <v/>
      </c>
      <c r="O15" s="0" t="str">
        <f aca="false">IF(C15="","",IF(COUNTIF($C$2:$C$500,C15)&gt;1,"DUPLICATE","OK"))</f>
        <v/>
      </c>
    </row>
    <row r="16" customFormat="false" ht="15" hidden="false" customHeight="false" outlineLevel="0" collapsed="false">
      <c r="I16" s="7"/>
      <c r="J16" s="7"/>
      <c r="M16" s="8"/>
      <c r="N16" s="0" t="str">
        <f aca="false">IF(C16="","",IF(AND(ISNUMBER(FIND("@",C16)),ISNUMBER(FIND(".",C16,FIND("@",C16))),ISERROR(FIND(" ",C16))),"OK","INVALID"))</f>
        <v/>
      </c>
      <c r="O16" s="0" t="str">
        <f aca="false">IF(C16="","",IF(COUNTIF($C$2:$C$500,C16)&gt;1,"DUPLICATE","OK"))</f>
        <v/>
      </c>
    </row>
    <row r="17" customFormat="false" ht="15" hidden="false" customHeight="false" outlineLevel="0" collapsed="false">
      <c r="I17" s="7"/>
      <c r="J17" s="7"/>
      <c r="M17" s="8"/>
      <c r="N17" s="0" t="str">
        <f aca="false">IF(C17="","",IF(AND(ISNUMBER(FIND("@",C17)),ISNUMBER(FIND(".",C17,FIND("@",C17))),ISERROR(FIND(" ",C17))),"OK","INVALID"))</f>
        <v/>
      </c>
      <c r="O17" s="0" t="str">
        <f aca="false">IF(C17="","",IF(COUNTIF($C$2:$C$500,C17)&gt;1,"DUPLICATE","OK"))</f>
        <v/>
      </c>
    </row>
    <row r="18" customFormat="false" ht="15" hidden="false" customHeight="false" outlineLevel="0" collapsed="false">
      <c r="I18" s="7"/>
      <c r="J18" s="7"/>
      <c r="M18" s="8"/>
      <c r="N18" s="0" t="str">
        <f aca="false">IF(C18="","",IF(AND(ISNUMBER(FIND("@",C18)),ISNUMBER(FIND(".",C18,FIND("@",C18))),ISERROR(FIND(" ",C18))),"OK","INVALID"))</f>
        <v/>
      </c>
      <c r="O18" s="0" t="str">
        <f aca="false">IF(C18="","",IF(COUNTIF($C$2:$C$500,C18)&gt;1,"DUPLICATE","OK"))</f>
        <v/>
      </c>
    </row>
    <row r="19" customFormat="false" ht="15" hidden="false" customHeight="false" outlineLevel="0" collapsed="false">
      <c r="I19" s="7"/>
      <c r="J19" s="7"/>
      <c r="M19" s="8"/>
      <c r="N19" s="0" t="str">
        <f aca="false">IF(C19="","",IF(AND(ISNUMBER(FIND("@",C19)),ISNUMBER(FIND(".",C19,FIND("@",C19))),ISERROR(FIND(" ",C19))),"OK","INVALID"))</f>
        <v/>
      </c>
      <c r="O19" s="0" t="str">
        <f aca="false">IF(C19="","",IF(COUNTIF($C$2:$C$500,C19)&gt;1,"DUPLICATE","OK"))</f>
        <v/>
      </c>
    </row>
    <row r="20" customFormat="false" ht="15" hidden="false" customHeight="false" outlineLevel="0" collapsed="false">
      <c r="I20" s="7"/>
      <c r="J20" s="7"/>
      <c r="M20" s="8"/>
      <c r="N20" s="0" t="str">
        <f aca="false">IF(C20="","",IF(AND(ISNUMBER(FIND("@",C20)),ISNUMBER(FIND(".",C20,FIND("@",C20))),ISERROR(FIND(" ",C20))),"OK","INVALID"))</f>
        <v/>
      </c>
      <c r="O20" s="0" t="str">
        <f aca="false">IF(C20="","",IF(COUNTIF($C$2:$C$500,C20)&gt;1,"DUPLICATE","OK"))</f>
        <v/>
      </c>
    </row>
    <row r="21" customFormat="false" ht="15" hidden="false" customHeight="false" outlineLevel="0" collapsed="false">
      <c r="I21" s="7"/>
      <c r="J21" s="7"/>
      <c r="M21" s="8"/>
      <c r="N21" s="0" t="str">
        <f aca="false">IF(C21="","",IF(AND(ISNUMBER(FIND("@",C21)),ISNUMBER(FIND(".",C21,FIND("@",C21))),ISERROR(FIND(" ",C21))),"OK","INVALID"))</f>
        <v/>
      </c>
      <c r="O21" s="0" t="str">
        <f aca="false">IF(C21="","",IF(COUNTIF($C$2:$C$500,C21)&gt;1,"DUPLICATE","OK"))</f>
        <v/>
      </c>
    </row>
    <row r="22" customFormat="false" ht="15" hidden="false" customHeight="false" outlineLevel="0" collapsed="false">
      <c r="I22" s="7"/>
      <c r="J22" s="7"/>
      <c r="M22" s="8"/>
      <c r="N22" s="0" t="str">
        <f aca="false">IF(C22="","",IF(AND(ISNUMBER(FIND("@",C22)),ISNUMBER(FIND(".",C22,FIND("@",C22))),ISERROR(FIND(" ",C22))),"OK","INVALID"))</f>
        <v/>
      </c>
      <c r="O22" s="0" t="str">
        <f aca="false">IF(C22="","",IF(COUNTIF($C$2:$C$500,C22)&gt;1,"DUPLICATE","OK"))</f>
        <v/>
      </c>
    </row>
    <row r="23" customFormat="false" ht="15" hidden="false" customHeight="false" outlineLevel="0" collapsed="false">
      <c r="I23" s="7"/>
      <c r="J23" s="7"/>
      <c r="M23" s="8"/>
      <c r="N23" s="0" t="str">
        <f aca="false">IF(C23="","",IF(AND(ISNUMBER(FIND("@",C23)),ISNUMBER(FIND(".",C23,FIND("@",C23))),ISERROR(FIND(" ",C23))),"OK","INVALID"))</f>
        <v/>
      </c>
      <c r="O23" s="0" t="str">
        <f aca="false">IF(C23="","",IF(COUNTIF($C$2:$C$500,C23)&gt;1,"DUPLICATE","OK"))</f>
        <v/>
      </c>
    </row>
    <row r="24" customFormat="false" ht="15" hidden="false" customHeight="false" outlineLevel="0" collapsed="false">
      <c r="I24" s="7"/>
      <c r="J24" s="7"/>
      <c r="M24" s="8"/>
      <c r="N24" s="0" t="str">
        <f aca="false">IF(C24="","",IF(AND(ISNUMBER(FIND("@",C24)),ISNUMBER(FIND(".",C24,FIND("@",C24))),ISERROR(FIND(" ",C24))),"OK","INVALID"))</f>
        <v/>
      </c>
      <c r="O24" s="0" t="str">
        <f aca="false">IF(C24="","",IF(COUNTIF($C$2:$C$500,C24)&gt;1,"DUPLICATE","OK"))</f>
        <v/>
      </c>
    </row>
    <row r="25" customFormat="false" ht="15" hidden="false" customHeight="false" outlineLevel="0" collapsed="false">
      <c r="I25" s="7"/>
      <c r="J25" s="7"/>
      <c r="M25" s="8"/>
      <c r="N25" s="0" t="str">
        <f aca="false">IF(C25="","",IF(AND(ISNUMBER(FIND("@",C25)),ISNUMBER(FIND(".",C25,FIND("@",C25))),ISERROR(FIND(" ",C25))),"OK","INVALID"))</f>
        <v/>
      </c>
      <c r="O25" s="0" t="str">
        <f aca="false">IF(C25="","",IF(COUNTIF($C$2:$C$500,C25)&gt;1,"DUPLICATE","OK"))</f>
        <v/>
      </c>
    </row>
    <row r="26" customFormat="false" ht="15" hidden="false" customHeight="false" outlineLevel="0" collapsed="false">
      <c r="I26" s="7"/>
      <c r="J26" s="7"/>
      <c r="M26" s="8"/>
      <c r="N26" s="0" t="str">
        <f aca="false">IF(C26="","",IF(AND(ISNUMBER(FIND("@",C26)),ISNUMBER(FIND(".",C26,FIND("@",C26))),ISERROR(FIND(" ",C26))),"OK","INVALID"))</f>
        <v/>
      </c>
      <c r="O26" s="0" t="str">
        <f aca="false">IF(C26="","",IF(COUNTIF($C$2:$C$500,C26)&gt;1,"DUPLICATE","OK"))</f>
        <v/>
      </c>
    </row>
    <row r="27" customFormat="false" ht="15" hidden="false" customHeight="false" outlineLevel="0" collapsed="false">
      <c r="I27" s="7"/>
      <c r="J27" s="7"/>
      <c r="M27" s="8"/>
      <c r="N27" s="0" t="str">
        <f aca="false">IF(C27="","",IF(AND(ISNUMBER(FIND("@",C27)),ISNUMBER(FIND(".",C27,FIND("@",C27))),ISERROR(FIND(" ",C27))),"OK","INVALID"))</f>
        <v/>
      </c>
      <c r="O27" s="0" t="str">
        <f aca="false">IF(C27="","",IF(COUNTIF($C$2:$C$500,C27)&gt;1,"DUPLICATE","OK"))</f>
        <v/>
      </c>
    </row>
    <row r="28" customFormat="false" ht="15" hidden="false" customHeight="false" outlineLevel="0" collapsed="false">
      <c r="I28" s="7"/>
      <c r="J28" s="7"/>
      <c r="M28" s="8"/>
      <c r="N28" s="0" t="str">
        <f aca="false">IF(C28="","",IF(AND(ISNUMBER(FIND("@",C28)),ISNUMBER(FIND(".",C28,FIND("@",C28))),ISERROR(FIND(" ",C28))),"OK","INVALID"))</f>
        <v/>
      </c>
      <c r="O28" s="0" t="str">
        <f aca="false">IF(C28="","",IF(COUNTIF($C$2:$C$500,C28)&gt;1,"DUPLICATE","OK"))</f>
        <v/>
      </c>
    </row>
    <row r="29" customFormat="false" ht="15" hidden="false" customHeight="false" outlineLevel="0" collapsed="false">
      <c r="I29" s="7"/>
      <c r="J29" s="7"/>
      <c r="M29" s="8"/>
      <c r="N29" s="0" t="str">
        <f aca="false">IF(C29="","",IF(AND(ISNUMBER(FIND("@",C29)),ISNUMBER(FIND(".",C29,FIND("@",C29))),ISERROR(FIND(" ",C29))),"OK","INVALID"))</f>
        <v/>
      </c>
      <c r="O29" s="0" t="str">
        <f aca="false">IF(C29="","",IF(COUNTIF($C$2:$C$500,C29)&gt;1,"DUPLICATE","OK"))</f>
        <v/>
      </c>
    </row>
    <row r="30" customFormat="false" ht="15" hidden="false" customHeight="false" outlineLevel="0" collapsed="false">
      <c r="I30" s="7"/>
      <c r="J30" s="7"/>
      <c r="M30" s="8"/>
      <c r="N30" s="0" t="str">
        <f aca="false">IF(C30="","",IF(AND(ISNUMBER(FIND("@",C30)),ISNUMBER(FIND(".",C30,FIND("@",C30))),ISERROR(FIND(" ",C30))),"OK","INVALID"))</f>
        <v/>
      </c>
      <c r="O30" s="0" t="str">
        <f aca="false">IF(C30="","",IF(COUNTIF($C$2:$C$500,C30)&gt;1,"DUPLICATE","OK"))</f>
        <v/>
      </c>
    </row>
    <row r="31" customFormat="false" ht="15" hidden="false" customHeight="false" outlineLevel="0" collapsed="false">
      <c r="I31" s="7"/>
      <c r="J31" s="7"/>
      <c r="M31" s="8"/>
      <c r="N31" s="0" t="str">
        <f aca="false">IF(C31="","",IF(AND(ISNUMBER(FIND("@",C31)),ISNUMBER(FIND(".",C31,FIND("@",C31))),ISERROR(FIND(" ",C31))),"OK","INVALID"))</f>
        <v/>
      </c>
      <c r="O31" s="0" t="str">
        <f aca="false">IF(C31="","",IF(COUNTIF($C$2:$C$500,C31)&gt;1,"DUPLICATE","OK"))</f>
        <v/>
      </c>
    </row>
    <row r="32" customFormat="false" ht="15" hidden="false" customHeight="false" outlineLevel="0" collapsed="false">
      <c r="I32" s="7"/>
      <c r="J32" s="7"/>
      <c r="M32" s="8"/>
      <c r="N32" s="0" t="str">
        <f aca="false">IF(C32="","",IF(AND(ISNUMBER(FIND("@",C32)),ISNUMBER(FIND(".",C32,FIND("@",C32))),ISERROR(FIND(" ",C32))),"OK","INVALID"))</f>
        <v/>
      </c>
      <c r="O32" s="0" t="str">
        <f aca="false">IF(C32="","",IF(COUNTIF($C$2:$C$500,C32)&gt;1,"DUPLICATE","OK"))</f>
        <v/>
      </c>
    </row>
    <row r="33" customFormat="false" ht="15" hidden="false" customHeight="false" outlineLevel="0" collapsed="false">
      <c r="I33" s="7"/>
      <c r="J33" s="7"/>
      <c r="M33" s="8"/>
      <c r="N33" s="0" t="str">
        <f aca="false">IF(C33="","",IF(AND(ISNUMBER(FIND("@",C33)),ISNUMBER(FIND(".",C33,FIND("@",C33))),ISERROR(FIND(" ",C33))),"OK","INVALID"))</f>
        <v/>
      </c>
      <c r="O33" s="0" t="str">
        <f aca="false">IF(C33="","",IF(COUNTIF($C$2:$C$500,C33)&gt;1,"DUPLICATE","OK"))</f>
        <v/>
      </c>
    </row>
    <row r="34" customFormat="false" ht="15" hidden="false" customHeight="false" outlineLevel="0" collapsed="false">
      <c r="I34" s="7"/>
      <c r="J34" s="7"/>
      <c r="M34" s="8"/>
      <c r="N34" s="0" t="str">
        <f aca="false">IF(C34="","",IF(AND(ISNUMBER(FIND("@",C34)),ISNUMBER(FIND(".",C34,FIND("@",C34))),ISERROR(FIND(" ",C34))),"OK","INVALID"))</f>
        <v/>
      </c>
      <c r="O34" s="0" t="str">
        <f aca="false">IF(C34="","",IF(COUNTIF($C$2:$C$500,C34)&gt;1,"DUPLICATE","OK"))</f>
        <v/>
      </c>
    </row>
    <row r="35" customFormat="false" ht="15" hidden="false" customHeight="false" outlineLevel="0" collapsed="false">
      <c r="I35" s="7"/>
      <c r="J35" s="7"/>
      <c r="M35" s="8"/>
      <c r="N35" s="0" t="str">
        <f aca="false">IF(C35="","",IF(AND(ISNUMBER(FIND("@",C35)),ISNUMBER(FIND(".",C35,FIND("@",C35))),ISERROR(FIND(" ",C35))),"OK","INVALID"))</f>
        <v/>
      </c>
      <c r="O35" s="0" t="str">
        <f aca="false">IF(C35="","",IF(COUNTIF($C$2:$C$500,C35)&gt;1,"DUPLICATE","OK"))</f>
        <v/>
      </c>
    </row>
    <row r="36" customFormat="false" ht="15" hidden="false" customHeight="false" outlineLevel="0" collapsed="false">
      <c r="I36" s="7"/>
      <c r="J36" s="7"/>
      <c r="M36" s="8"/>
      <c r="N36" s="0" t="str">
        <f aca="false">IF(C36="","",IF(AND(ISNUMBER(FIND("@",C36)),ISNUMBER(FIND(".",C36,FIND("@",C36))),ISERROR(FIND(" ",C36))),"OK","INVALID"))</f>
        <v/>
      </c>
      <c r="O36" s="0" t="str">
        <f aca="false">IF(C36="","",IF(COUNTIF($C$2:$C$500,C36)&gt;1,"DUPLICATE","OK"))</f>
        <v/>
      </c>
    </row>
    <row r="37" customFormat="false" ht="15" hidden="false" customHeight="false" outlineLevel="0" collapsed="false">
      <c r="I37" s="7"/>
      <c r="J37" s="7"/>
      <c r="M37" s="8"/>
      <c r="N37" s="0" t="str">
        <f aca="false">IF(C37="","",IF(AND(ISNUMBER(FIND("@",C37)),ISNUMBER(FIND(".",C37,FIND("@",C37))),ISERROR(FIND(" ",C37))),"OK","INVALID"))</f>
        <v/>
      </c>
      <c r="O37" s="0" t="str">
        <f aca="false">IF(C37="","",IF(COUNTIF($C$2:$C$500,C37)&gt;1,"DUPLICATE","OK"))</f>
        <v/>
      </c>
    </row>
    <row r="38" customFormat="false" ht="15" hidden="false" customHeight="false" outlineLevel="0" collapsed="false">
      <c r="I38" s="7"/>
      <c r="J38" s="7"/>
      <c r="M38" s="8"/>
      <c r="N38" s="0" t="str">
        <f aca="false">IF(C38="","",IF(AND(ISNUMBER(FIND("@",C38)),ISNUMBER(FIND(".",C38,FIND("@",C38))),ISERROR(FIND(" ",C38))),"OK","INVALID"))</f>
        <v/>
      </c>
      <c r="O38" s="0" t="str">
        <f aca="false">IF(C38="","",IF(COUNTIF($C$2:$C$500,C38)&gt;1,"DUPLICATE","OK"))</f>
        <v/>
      </c>
    </row>
    <row r="39" customFormat="false" ht="15" hidden="false" customHeight="false" outlineLevel="0" collapsed="false">
      <c r="I39" s="7"/>
      <c r="J39" s="7"/>
      <c r="M39" s="8"/>
      <c r="N39" s="0" t="str">
        <f aca="false">IF(C39="","",IF(AND(ISNUMBER(FIND("@",C39)),ISNUMBER(FIND(".",C39,FIND("@",C39))),ISERROR(FIND(" ",C39))),"OK","INVALID"))</f>
        <v/>
      </c>
      <c r="O39" s="0" t="str">
        <f aca="false">IF(C39="","",IF(COUNTIF($C$2:$C$500,C39)&gt;1,"DUPLICATE","OK"))</f>
        <v/>
      </c>
    </row>
    <row r="40" customFormat="false" ht="15" hidden="false" customHeight="false" outlineLevel="0" collapsed="false">
      <c r="I40" s="7"/>
      <c r="J40" s="7"/>
      <c r="M40" s="8"/>
      <c r="N40" s="0" t="str">
        <f aca="false">IF(C40="","",IF(AND(ISNUMBER(FIND("@",C40)),ISNUMBER(FIND(".",C40,FIND("@",C40))),ISERROR(FIND(" ",C40))),"OK","INVALID"))</f>
        <v/>
      </c>
      <c r="O40" s="0" t="str">
        <f aca="false">IF(C40="","",IF(COUNTIF($C$2:$C$500,C40)&gt;1,"DUPLICATE","OK"))</f>
        <v/>
      </c>
    </row>
    <row r="41" customFormat="false" ht="15" hidden="false" customHeight="false" outlineLevel="0" collapsed="false">
      <c r="I41" s="7"/>
      <c r="J41" s="7"/>
      <c r="M41" s="8"/>
      <c r="N41" s="0" t="str">
        <f aca="false">IF(C41="","",IF(AND(ISNUMBER(FIND("@",C41)),ISNUMBER(FIND(".",C41,FIND("@",C41))),ISERROR(FIND(" ",C41))),"OK","INVALID"))</f>
        <v/>
      </c>
      <c r="O41" s="0" t="str">
        <f aca="false">IF(C41="","",IF(COUNTIF($C$2:$C$500,C41)&gt;1,"DUPLICATE","OK"))</f>
        <v/>
      </c>
    </row>
    <row r="42" customFormat="false" ht="15" hidden="false" customHeight="false" outlineLevel="0" collapsed="false">
      <c r="I42" s="7"/>
      <c r="J42" s="7"/>
      <c r="M42" s="8"/>
      <c r="N42" s="0" t="str">
        <f aca="false">IF(C42="","",IF(AND(ISNUMBER(FIND("@",C42)),ISNUMBER(FIND(".",C42,FIND("@",C42))),ISERROR(FIND(" ",C42))),"OK","INVALID"))</f>
        <v/>
      </c>
      <c r="O42" s="0" t="str">
        <f aca="false">IF(C42="","",IF(COUNTIF($C$2:$C$500,C42)&gt;1,"DUPLICATE","OK"))</f>
        <v/>
      </c>
    </row>
    <row r="43" customFormat="false" ht="15" hidden="false" customHeight="false" outlineLevel="0" collapsed="false">
      <c r="I43" s="7"/>
      <c r="J43" s="7"/>
      <c r="M43" s="8"/>
      <c r="N43" s="0" t="str">
        <f aca="false">IF(C43="","",IF(AND(ISNUMBER(FIND("@",C43)),ISNUMBER(FIND(".",C43,FIND("@",C43))),ISERROR(FIND(" ",C43))),"OK","INVALID"))</f>
        <v/>
      </c>
      <c r="O43" s="0" t="str">
        <f aca="false">IF(C43="","",IF(COUNTIF($C$2:$C$500,C43)&gt;1,"DUPLICATE","OK"))</f>
        <v/>
      </c>
    </row>
    <row r="44" customFormat="false" ht="15" hidden="false" customHeight="false" outlineLevel="0" collapsed="false">
      <c r="I44" s="7"/>
      <c r="J44" s="7"/>
      <c r="M44" s="8"/>
      <c r="N44" s="0" t="str">
        <f aca="false">IF(C44="","",IF(AND(ISNUMBER(FIND("@",C44)),ISNUMBER(FIND(".",C44,FIND("@",C44))),ISERROR(FIND(" ",C44))),"OK","INVALID"))</f>
        <v/>
      </c>
      <c r="O44" s="0" t="str">
        <f aca="false">IF(C44="","",IF(COUNTIF($C$2:$C$500,C44)&gt;1,"DUPLICATE","OK"))</f>
        <v/>
      </c>
    </row>
    <row r="45" customFormat="false" ht="15" hidden="false" customHeight="false" outlineLevel="0" collapsed="false">
      <c r="I45" s="7"/>
      <c r="J45" s="7"/>
      <c r="M45" s="8"/>
      <c r="N45" s="0" t="str">
        <f aca="false">IF(C45="","",IF(AND(ISNUMBER(FIND("@",C45)),ISNUMBER(FIND(".",C45,FIND("@",C45))),ISERROR(FIND(" ",C45))),"OK","INVALID"))</f>
        <v/>
      </c>
      <c r="O45" s="0" t="str">
        <f aca="false">IF(C45="","",IF(COUNTIF($C$2:$C$500,C45)&gt;1,"DUPLICATE","OK"))</f>
        <v/>
      </c>
    </row>
    <row r="46" customFormat="false" ht="15" hidden="false" customHeight="false" outlineLevel="0" collapsed="false">
      <c r="I46" s="7"/>
      <c r="J46" s="7"/>
      <c r="M46" s="8"/>
      <c r="N46" s="0" t="str">
        <f aca="false">IF(C46="","",IF(AND(ISNUMBER(FIND("@",C46)),ISNUMBER(FIND(".",C46,FIND("@",C46))),ISERROR(FIND(" ",C46))),"OK","INVALID"))</f>
        <v/>
      </c>
      <c r="O46" s="0" t="str">
        <f aca="false">IF(C46="","",IF(COUNTIF($C$2:$C$500,C46)&gt;1,"DUPLICATE","OK"))</f>
        <v/>
      </c>
    </row>
    <row r="47" customFormat="false" ht="15" hidden="false" customHeight="false" outlineLevel="0" collapsed="false">
      <c r="I47" s="7"/>
      <c r="J47" s="7"/>
      <c r="M47" s="8"/>
      <c r="N47" s="0" t="str">
        <f aca="false">IF(C47="","",IF(AND(ISNUMBER(FIND("@",C47)),ISNUMBER(FIND(".",C47,FIND("@",C47))),ISERROR(FIND(" ",C47))),"OK","INVALID"))</f>
        <v/>
      </c>
      <c r="O47" s="0" t="str">
        <f aca="false">IF(C47="","",IF(COUNTIF($C$2:$C$500,C47)&gt;1,"DUPLICATE","OK"))</f>
        <v/>
      </c>
    </row>
    <row r="48" customFormat="false" ht="15" hidden="false" customHeight="false" outlineLevel="0" collapsed="false">
      <c r="I48" s="7"/>
      <c r="J48" s="7"/>
      <c r="M48" s="8"/>
      <c r="N48" s="0" t="str">
        <f aca="false">IF(C48="","",IF(AND(ISNUMBER(FIND("@",C48)),ISNUMBER(FIND(".",C48,FIND("@",C48))),ISERROR(FIND(" ",C48))),"OK","INVALID"))</f>
        <v/>
      </c>
      <c r="O48" s="0" t="str">
        <f aca="false">IF(C48="","",IF(COUNTIF($C$2:$C$500,C48)&gt;1,"DUPLICATE","OK"))</f>
        <v/>
      </c>
    </row>
    <row r="49" customFormat="false" ht="15" hidden="false" customHeight="false" outlineLevel="0" collapsed="false">
      <c r="I49" s="7"/>
      <c r="J49" s="7"/>
      <c r="M49" s="8"/>
      <c r="N49" s="0" t="str">
        <f aca="false">IF(C49="","",IF(AND(ISNUMBER(FIND("@",C49)),ISNUMBER(FIND(".",C49,FIND("@",C49))),ISERROR(FIND(" ",C49))),"OK","INVALID"))</f>
        <v/>
      </c>
      <c r="O49" s="0" t="str">
        <f aca="false">IF(C49="","",IF(COUNTIF($C$2:$C$500,C49)&gt;1,"DUPLICATE","OK"))</f>
        <v/>
      </c>
    </row>
    <row r="50" customFormat="false" ht="15" hidden="false" customHeight="false" outlineLevel="0" collapsed="false">
      <c r="I50" s="7"/>
      <c r="J50" s="7"/>
      <c r="M50" s="8"/>
      <c r="N50" s="0" t="str">
        <f aca="false">IF(C50="","",IF(AND(ISNUMBER(FIND("@",C50)),ISNUMBER(FIND(".",C50,FIND("@",C50))),ISERROR(FIND(" ",C50))),"OK","INVALID"))</f>
        <v/>
      </c>
      <c r="O50" s="0" t="str">
        <f aca="false">IF(C50="","",IF(COUNTIF($C$2:$C$500,C50)&gt;1,"DUPLICATE","OK"))</f>
        <v/>
      </c>
    </row>
    <row r="51" customFormat="false" ht="15" hidden="false" customHeight="false" outlineLevel="0" collapsed="false">
      <c r="I51" s="7"/>
      <c r="J51" s="7"/>
      <c r="M51" s="8"/>
      <c r="N51" s="0" t="str">
        <f aca="false">IF(C51="","",IF(AND(ISNUMBER(FIND("@",C51)),ISNUMBER(FIND(".",C51,FIND("@",C51))),ISERROR(FIND(" ",C51))),"OK","INVALID"))</f>
        <v/>
      </c>
      <c r="O51" s="0" t="str">
        <f aca="false">IF(C51="","",IF(COUNTIF($C$2:$C$500,C51)&gt;1,"DUPLICATE","OK"))</f>
        <v/>
      </c>
    </row>
    <row r="52" customFormat="false" ht="15" hidden="false" customHeight="false" outlineLevel="0" collapsed="false">
      <c r="I52" s="7"/>
      <c r="J52" s="7"/>
      <c r="M52" s="8"/>
      <c r="N52" s="0" t="str">
        <f aca="false">IF(C52="","",IF(AND(ISNUMBER(FIND("@",C52)),ISNUMBER(FIND(".",C52,FIND("@",C52))),ISERROR(FIND(" ",C52))),"OK","INVALID"))</f>
        <v/>
      </c>
      <c r="O52" s="0" t="str">
        <f aca="false">IF(C52="","",IF(COUNTIF($C$2:$C$500,C52)&gt;1,"DUPLICATE","OK"))</f>
        <v/>
      </c>
    </row>
    <row r="53" customFormat="false" ht="15" hidden="false" customHeight="false" outlineLevel="0" collapsed="false">
      <c r="I53" s="7"/>
      <c r="J53" s="7"/>
      <c r="M53" s="8"/>
      <c r="N53" s="0" t="str">
        <f aca="false">IF(C53="","",IF(AND(ISNUMBER(FIND("@",C53)),ISNUMBER(FIND(".",C53,FIND("@",C53))),ISERROR(FIND(" ",C53))),"OK","INVALID"))</f>
        <v/>
      </c>
      <c r="O53" s="0" t="str">
        <f aca="false">IF(C53="","",IF(COUNTIF($C$2:$C$500,C53)&gt;1,"DUPLICATE","OK"))</f>
        <v/>
      </c>
    </row>
    <row r="54" customFormat="false" ht="15" hidden="false" customHeight="false" outlineLevel="0" collapsed="false">
      <c r="I54" s="7"/>
      <c r="J54" s="7"/>
      <c r="M54" s="8"/>
      <c r="N54" s="0" t="str">
        <f aca="false">IF(C54="","",IF(AND(ISNUMBER(FIND("@",C54)),ISNUMBER(FIND(".",C54,FIND("@",C54))),ISERROR(FIND(" ",C54))),"OK","INVALID"))</f>
        <v/>
      </c>
      <c r="O54" s="0" t="str">
        <f aca="false">IF(C54="","",IF(COUNTIF($C$2:$C$500,C54)&gt;1,"DUPLICATE","OK"))</f>
        <v/>
      </c>
    </row>
    <row r="55" customFormat="false" ht="15" hidden="false" customHeight="false" outlineLevel="0" collapsed="false">
      <c r="I55" s="7"/>
      <c r="J55" s="7"/>
      <c r="M55" s="8"/>
      <c r="N55" s="0" t="str">
        <f aca="false">IF(C55="","",IF(AND(ISNUMBER(FIND("@",C55)),ISNUMBER(FIND(".",C55,FIND("@",C55))),ISERROR(FIND(" ",C55))),"OK","INVALID"))</f>
        <v/>
      </c>
      <c r="O55" s="0" t="str">
        <f aca="false">IF(C55="","",IF(COUNTIF($C$2:$C$500,C55)&gt;1,"DUPLICATE","OK"))</f>
        <v/>
      </c>
    </row>
    <row r="56" customFormat="false" ht="15" hidden="false" customHeight="false" outlineLevel="0" collapsed="false">
      <c r="I56" s="7"/>
      <c r="J56" s="7"/>
      <c r="M56" s="8"/>
      <c r="N56" s="0" t="str">
        <f aca="false">IF(C56="","",IF(AND(ISNUMBER(FIND("@",C56)),ISNUMBER(FIND(".",C56,FIND("@",C56))),ISERROR(FIND(" ",C56))),"OK","INVALID"))</f>
        <v/>
      </c>
      <c r="O56" s="0" t="str">
        <f aca="false">IF(C56="","",IF(COUNTIF($C$2:$C$500,C56)&gt;1,"DUPLICATE","OK"))</f>
        <v/>
      </c>
    </row>
    <row r="57" customFormat="false" ht="15" hidden="false" customHeight="false" outlineLevel="0" collapsed="false">
      <c r="I57" s="7"/>
      <c r="J57" s="7"/>
      <c r="M57" s="8"/>
      <c r="N57" s="0" t="str">
        <f aca="false">IF(C57="","",IF(AND(ISNUMBER(FIND("@",C57)),ISNUMBER(FIND(".",C57,FIND("@",C57))),ISERROR(FIND(" ",C57))),"OK","INVALID"))</f>
        <v/>
      </c>
      <c r="O57" s="0" t="str">
        <f aca="false">IF(C57="","",IF(COUNTIF($C$2:$C$500,C57)&gt;1,"DUPLICATE","OK"))</f>
        <v/>
      </c>
    </row>
    <row r="58" customFormat="false" ht="15" hidden="false" customHeight="false" outlineLevel="0" collapsed="false">
      <c r="I58" s="7"/>
      <c r="J58" s="7"/>
      <c r="M58" s="8"/>
      <c r="N58" s="0" t="str">
        <f aca="false">IF(C58="","",IF(AND(ISNUMBER(FIND("@",C58)),ISNUMBER(FIND(".",C58,FIND("@",C58))),ISERROR(FIND(" ",C58))),"OK","INVALID"))</f>
        <v/>
      </c>
      <c r="O58" s="0" t="str">
        <f aca="false">IF(C58="","",IF(COUNTIF($C$2:$C$500,C58)&gt;1,"DUPLICATE","OK"))</f>
        <v/>
      </c>
    </row>
    <row r="59" customFormat="false" ht="15" hidden="false" customHeight="false" outlineLevel="0" collapsed="false">
      <c r="I59" s="7"/>
      <c r="J59" s="7"/>
      <c r="M59" s="8"/>
      <c r="N59" s="0" t="str">
        <f aca="false">IF(C59="","",IF(AND(ISNUMBER(FIND("@",C59)),ISNUMBER(FIND(".",C59,FIND("@",C59))),ISERROR(FIND(" ",C59))),"OK","INVALID"))</f>
        <v/>
      </c>
      <c r="O59" s="0" t="str">
        <f aca="false">IF(C59="","",IF(COUNTIF($C$2:$C$500,C59)&gt;1,"DUPLICATE","OK"))</f>
        <v/>
      </c>
    </row>
    <row r="60" customFormat="false" ht="15" hidden="false" customHeight="false" outlineLevel="0" collapsed="false">
      <c r="I60" s="7"/>
      <c r="J60" s="7"/>
      <c r="M60" s="8"/>
      <c r="N60" s="0" t="str">
        <f aca="false">IF(C60="","",IF(AND(ISNUMBER(FIND("@",C60)),ISNUMBER(FIND(".",C60,FIND("@",C60))),ISERROR(FIND(" ",C60))),"OK","INVALID"))</f>
        <v/>
      </c>
      <c r="O60" s="0" t="str">
        <f aca="false">IF(C60="","",IF(COUNTIF($C$2:$C$500,C60)&gt;1,"DUPLICATE","OK"))</f>
        <v/>
      </c>
    </row>
    <row r="61" customFormat="false" ht="15" hidden="false" customHeight="false" outlineLevel="0" collapsed="false">
      <c r="I61" s="7"/>
      <c r="J61" s="7"/>
      <c r="M61" s="8"/>
      <c r="N61" s="0" t="str">
        <f aca="false">IF(C61="","",IF(AND(ISNUMBER(FIND("@",C61)),ISNUMBER(FIND(".",C61,FIND("@",C61))),ISERROR(FIND(" ",C61))),"OK","INVALID"))</f>
        <v/>
      </c>
      <c r="O61" s="0" t="str">
        <f aca="false">IF(C61="","",IF(COUNTIF($C$2:$C$500,C61)&gt;1,"DUPLICATE","OK"))</f>
        <v/>
      </c>
    </row>
    <row r="62" customFormat="false" ht="15" hidden="false" customHeight="false" outlineLevel="0" collapsed="false">
      <c r="I62" s="7"/>
      <c r="J62" s="7"/>
      <c r="M62" s="8"/>
      <c r="N62" s="0" t="str">
        <f aca="false">IF(C62="","",IF(AND(ISNUMBER(FIND("@",C62)),ISNUMBER(FIND(".",C62,FIND("@",C62))),ISERROR(FIND(" ",C62))),"OK","INVALID"))</f>
        <v/>
      </c>
      <c r="O62" s="0" t="str">
        <f aca="false">IF(C62="","",IF(COUNTIF($C$2:$C$500,C62)&gt;1,"DUPLICATE","OK"))</f>
        <v/>
      </c>
    </row>
    <row r="63" customFormat="false" ht="15" hidden="false" customHeight="false" outlineLevel="0" collapsed="false">
      <c r="I63" s="7"/>
      <c r="J63" s="7"/>
      <c r="M63" s="8"/>
      <c r="N63" s="0" t="str">
        <f aca="false">IF(C63="","",IF(AND(ISNUMBER(FIND("@",C63)),ISNUMBER(FIND(".",C63,FIND("@",C63))),ISERROR(FIND(" ",C63))),"OK","INVALID"))</f>
        <v/>
      </c>
      <c r="O63" s="0" t="str">
        <f aca="false">IF(C63="","",IF(COUNTIF($C$2:$C$500,C63)&gt;1,"DUPLICATE","OK"))</f>
        <v/>
      </c>
    </row>
    <row r="64" customFormat="false" ht="15" hidden="false" customHeight="false" outlineLevel="0" collapsed="false">
      <c r="I64" s="7"/>
      <c r="J64" s="7"/>
      <c r="M64" s="8"/>
      <c r="N64" s="0" t="str">
        <f aca="false">IF(C64="","",IF(AND(ISNUMBER(FIND("@",C64)),ISNUMBER(FIND(".",C64,FIND("@",C64))),ISERROR(FIND(" ",C64))),"OK","INVALID"))</f>
        <v/>
      </c>
      <c r="O64" s="0" t="str">
        <f aca="false">IF(C64="","",IF(COUNTIF($C$2:$C$500,C64)&gt;1,"DUPLICATE","OK"))</f>
        <v/>
      </c>
    </row>
    <row r="65" customFormat="false" ht="15" hidden="false" customHeight="false" outlineLevel="0" collapsed="false">
      <c r="I65" s="7"/>
      <c r="J65" s="7"/>
      <c r="M65" s="8"/>
      <c r="N65" s="0" t="str">
        <f aca="false">IF(C65="","",IF(AND(ISNUMBER(FIND("@",C65)),ISNUMBER(FIND(".",C65,FIND("@",C65))),ISERROR(FIND(" ",C65))),"OK","INVALID"))</f>
        <v/>
      </c>
      <c r="O65" s="0" t="str">
        <f aca="false">IF(C65="","",IF(COUNTIF($C$2:$C$500,C65)&gt;1,"DUPLICATE","OK"))</f>
        <v/>
      </c>
    </row>
    <row r="66" customFormat="false" ht="15" hidden="false" customHeight="false" outlineLevel="0" collapsed="false">
      <c r="I66" s="7"/>
      <c r="J66" s="7"/>
      <c r="M66" s="8"/>
      <c r="N66" s="0" t="str">
        <f aca="false">IF(C66="","",IF(AND(ISNUMBER(FIND("@",C66)),ISNUMBER(FIND(".",C66,FIND("@",C66))),ISERROR(FIND(" ",C66))),"OK","INVALID"))</f>
        <v/>
      </c>
      <c r="O66" s="0" t="str">
        <f aca="false">IF(C66="","",IF(COUNTIF($C$2:$C$500,C66)&gt;1,"DUPLICATE","OK"))</f>
        <v/>
      </c>
    </row>
    <row r="67" customFormat="false" ht="15" hidden="false" customHeight="false" outlineLevel="0" collapsed="false">
      <c r="I67" s="7"/>
      <c r="J67" s="7"/>
      <c r="M67" s="8"/>
      <c r="N67" s="0" t="str">
        <f aca="false">IF(C67="","",IF(AND(ISNUMBER(FIND("@",C67)),ISNUMBER(FIND(".",C67,FIND("@",C67))),ISERROR(FIND(" ",C67))),"OK","INVALID"))</f>
        <v/>
      </c>
      <c r="O67" s="0" t="str">
        <f aca="false">IF(C67="","",IF(COUNTIF($C$2:$C$500,C67)&gt;1,"DUPLICATE","OK"))</f>
        <v/>
      </c>
    </row>
    <row r="68" customFormat="false" ht="15" hidden="false" customHeight="false" outlineLevel="0" collapsed="false">
      <c r="I68" s="7"/>
      <c r="J68" s="7"/>
      <c r="M68" s="8"/>
      <c r="N68" s="0" t="str">
        <f aca="false">IF(C68="","",IF(AND(ISNUMBER(FIND("@",C68)),ISNUMBER(FIND(".",C68,FIND("@",C68))),ISERROR(FIND(" ",C68))),"OK","INVALID"))</f>
        <v/>
      </c>
      <c r="O68" s="0" t="str">
        <f aca="false">IF(C68="","",IF(COUNTIF($C$2:$C$500,C68)&gt;1,"DUPLICATE","OK"))</f>
        <v/>
      </c>
    </row>
    <row r="69" customFormat="false" ht="15" hidden="false" customHeight="false" outlineLevel="0" collapsed="false">
      <c r="I69" s="7"/>
      <c r="J69" s="7"/>
      <c r="M69" s="8"/>
      <c r="N69" s="0" t="str">
        <f aca="false">IF(C69="","",IF(AND(ISNUMBER(FIND("@",C69)),ISNUMBER(FIND(".",C69,FIND("@",C69))),ISERROR(FIND(" ",C69))),"OK","INVALID"))</f>
        <v/>
      </c>
      <c r="O69" s="0" t="str">
        <f aca="false">IF(C69="","",IF(COUNTIF($C$2:$C$500,C69)&gt;1,"DUPLICATE","OK"))</f>
        <v/>
      </c>
    </row>
    <row r="70" customFormat="false" ht="15" hidden="false" customHeight="false" outlineLevel="0" collapsed="false">
      <c r="I70" s="7"/>
      <c r="J70" s="7"/>
      <c r="M70" s="8"/>
      <c r="N70" s="0" t="str">
        <f aca="false">IF(C70="","",IF(AND(ISNUMBER(FIND("@",C70)),ISNUMBER(FIND(".",C70,FIND("@",C70))),ISERROR(FIND(" ",C70))),"OK","INVALID"))</f>
        <v/>
      </c>
      <c r="O70" s="0" t="str">
        <f aca="false">IF(C70="","",IF(COUNTIF($C$2:$C$500,C70)&gt;1,"DUPLICATE","OK"))</f>
        <v/>
      </c>
    </row>
    <row r="71" customFormat="false" ht="15" hidden="false" customHeight="false" outlineLevel="0" collapsed="false">
      <c r="I71" s="7"/>
      <c r="J71" s="7"/>
      <c r="M71" s="8"/>
      <c r="N71" s="0" t="str">
        <f aca="false">IF(C71="","",IF(AND(ISNUMBER(FIND("@",C71)),ISNUMBER(FIND(".",C71,FIND("@",C71))),ISERROR(FIND(" ",C71))),"OK","INVALID"))</f>
        <v/>
      </c>
      <c r="O71" s="0" t="str">
        <f aca="false">IF(C71="","",IF(COUNTIF($C$2:$C$500,C71)&gt;1,"DUPLICATE","OK"))</f>
        <v/>
      </c>
    </row>
    <row r="72" customFormat="false" ht="15" hidden="false" customHeight="false" outlineLevel="0" collapsed="false">
      <c r="I72" s="7"/>
      <c r="J72" s="7"/>
      <c r="M72" s="8"/>
      <c r="N72" s="0" t="str">
        <f aca="false">IF(C72="","",IF(AND(ISNUMBER(FIND("@",C72)),ISNUMBER(FIND(".",C72,FIND("@",C72))),ISERROR(FIND(" ",C72))),"OK","INVALID"))</f>
        <v/>
      </c>
      <c r="O72" s="0" t="str">
        <f aca="false">IF(C72="","",IF(COUNTIF($C$2:$C$500,C72)&gt;1,"DUPLICATE","OK"))</f>
        <v/>
      </c>
    </row>
    <row r="73" customFormat="false" ht="15" hidden="false" customHeight="false" outlineLevel="0" collapsed="false">
      <c r="I73" s="7"/>
      <c r="J73" s="7"/>
      <c r="M73" s="8"/>
      <c r="N73" s="0" t="str">
        <f aca="false">IF(C73="","",IF(AND(ISNUMBER(FIND("@",C73)),ISNUMBER(FIND(".",C73,FIND("@",C73))),ISERROR(FIND(" ",C73))),"OK","INVALID"))</f>
        <v/>
      </c>
      <c r="O73" s="0" t="str">
        <f aca="false">IF(C73="","",IF(COUNTIF($C$2:$C$500,C73)&gt;1,"DUPLICATE","OK"))</f>
        <v/>
      </c>
    </row>
    <row r="74" customFormat="false" ht="15" hidden="false" customHeight="false" outlineLevel="0" collapsed="false">
      <c r="I74" s="7"/>
      <c r="J74" s="7"/>
      <c r="M74" s="8"/>
      <c r="N74" s="0" t="str">
        <f aca="false">IF(C74="","",IF(AND(ISNUMBER(FIND("@",C74)),ISNUMBER(FIND(".",C74,FIND("@",C74))),ISERROR(FIND(" ",C74))),"OK","INVALID"))</f>
        <v/>
      </c>
      <c r="O74" s="0" t="str">
        <f aca="false">IF(C74="","",IF(COUNTIF($C$2:$C$500,C74)&gt;1,"DUPLICATE","OK"))</f>
        <v/>
      </c>
    </row>
    <row r="75" customFormat="false" ht="15" hidden="false" customHeight="false" outlineLevel="0" collapsed="false">
      <c r="I75" s="7"/>
      <c r="J75" s="7"/>
      <c r="M75" s="8"/>
      <c r="N75" s="0" t="str">
        <f aca="false">IF(C75="","",IF(AND(ISNUMBER(FIND("@",C75)),ISNUMBER(FIND(".",C75,FIND("@",C75))),ISERROR(FIND(" ",C75))),"OK","INVALID"))</f>
        <v/>
      </c>
      <c r="O75" s="0" t="str">
        <f aca="false">IF(C75="","",IF(COUNTIF($C$2:$C$500,C75)&gt;1,"DUPLICATE","OK"))</f>
        <v/>
      </c>
    </row>
    <row r="76" customFormat="false" ht="15" hidden="false" customHeight="false" outlineLevel="0" collapsed="false">
      <c r="I76" s="7"/>
      <c r="J76" s="7"/>
      <c r="M76" s="8"/>
      <c r="N76" s="0" t="str">
        <f aca="false">IF(C76="","",IF(AND(ISNUMBER(FIND("@",C76)),ISNUMBER(FIND(".",C76,FIND("@",C76))),ISERROR(FIND(" ",C76))),"OK","INVALID"))</f>
        <v/>
      </c>
      <c r="O76" s="0" t="str">
        <f aca="false">IF(C76="","",IF(COUNTIF($C$2:$C$500,C76)&gt;1,"DUPLICATE","OK"))</f>
        <v/>
      </c>
    </row>
    <row r="77" customFormat="false" ht="15" hidden="false" customHeight="false" outlineLevel="0" collapsed="false">
      <c r="I77" s="7"/>
      <c r="J77" s="7"/>
      <c r="M77" s="8"/>
      <c r="N77" s="0" t="str">
        <f aca="false">IF(C77="","",IF(AND(ISNUMBER(FIND("@",C77)),ISNUMBER(FIND(".",C77,FIND("@",C77))),ISERROR(FIND(" ",C77))),"OK","INVALID"))</f>
        <v/>
      </c>
      <c r="O77" s="0" t="str">
        <f aca="false">IF(C77="","",IF(COUNTIF($C$2:$C$500,C77)&gt;1,"DUPLICATE","OK"))</f>
        <v/>
      </c>
    </row>
    <row r="78" customFormat="false" ht="15" hidden="false" customHeight="false" outlineLevel="0" collapsed="false">
      <c r="I78" s="7"/>
      <c r="J78" s="7"/>
      <c r="M78" s="8"/>
      <c r="N78" s="0" t="str">
        <f aca="false">IF(C78="","",IF(AND(ISNUMBER(FIND("@",C78)),ISNUMBER(FIND(".",C78,FIND("@",C78))),ISERROR(FIND(" ",C78))),"OK","INVALID"))</f>
        <v/>
      </c>
      <c r="O78" s="0" t="str">
        <f aca="false">IF(C78="","",IF(COUNTIF($C$2:$C$500,C78)&gt;1,"DUPLICATE","OK"))</f>
        <v/>
      </c>
    </row>
    <row r="79" customFormat="false" ht="15" hidden="false" customHeight="false" outlineLevel="0" collapsed="false">
      <c r="I79" s="7"/>
      <c r="J79" s="7"/>
      <c r="M79" s="8"/>
      <c r="N79" s="0" t="str">
        <f aca="false">IF(C79="","",IF(AND(ISNUMBER(FIND("@",C79)),ISNUMBER(FIND(".",C79,FIND("@",C79))),ISERROR(FIND(" ",C79))),"OK","INVALID"))</f>
        <v/>
      </c>
      <c r="O79" s="0" t="str">
        <f aca="false">IF(C79="","",IF(COUNTIF($C$2:$C$500,C79)&gt;1,"DUPLICATE","OK"))</f>
        <v/>
      </c>
    </row>
    <row r="80" customFormat="false" ht="15" hidden="false" customHeight="false" outlineLevel="0" collapsed="false">
      <c r="I80" s="7"/>
      <c r="J80" s="7"/>
      <c r="M80" s="8"/>
      <c r="N80" s="0" t="str">
        <f aca="false">IF(C80="","",IF(AND(ISNUMBER(FIND("@",C80)),ISNUMBER(FIND(".",C80,FIND("@",C80))),ISERROR(FIND(" ",C80))),"OK","INVALID"))</f>
        <v/>
      </c>
      <c r="O80" s="0" t="str">
        <f aca="false">IF(C80="","",IF(COUNTIF($C$2:$C$500,C80)&gt;1,"DUPLICATE","OK"))</f>
        <v/>
      </c>
    </row>
    <row r="81" customFormat="false" ht="15" hidden="false" customHeight="false" outlineLevel="0" collapsed="false">
      <c r="I81" s="7"/>
      <c r="J81" s="7"/>
      <c r="M81" s="8"/>
      <c r="N81" s="0" t="str">
        <f aca="false">IF(C81="","",IF(AND(ISNUMBER(FIND("@",C81)),ISNUMBER(FIND(".",C81,FIND("@",C81))),ISERROR(FIND(" ",C81))),"OK","INVALID"))</f>
        <v/>
      </c>
      <c r="O81" s="0" t="str">
        <f aca="false">IF(C81="","",IF(COUNTIF($C$2:$C$500,C81)&gt;1,"DUPLICATE","OK"))</f>
        <v/>
      </c>
    </row>
    <row r="82" customFormat="false" ht="15" hidden="false" customHeight="false" outlineLevel="0" collapsed="false">
      <c r="I82" s="7"/>
      <c r="J82" s="7"/>
      <c r="M82" s="8"/>
      <c r="N82" s="0" t="str">
        <f aca="false">IF(C82="","",IF(AND(ISNUMBER(FIND("@",C82)),ISNUMBER(FIND(".",C82,FIND("@",C82))),ISERROR(FIND(" ",C82))),"OK","INVALID"))</f>
        <v/>
      </c>
      <c r="O82" s="0" t="str">
        <f aca="false">IF(C82="","",IF(COUNTIF($C$2:$C$500,C82)&gt;1,"DUPLICATE","OK"))</f>
        <v/>
      </c>
    </row>
    <row r="83" customFormat="false" ht="15" hidden="false" customHeight="false" outlineLevel="0" collapsed="false">
      <c r="I83" s="7"/>
      <c r="J83" s="7"/>
      <c r="M83" s="8"/>
      <c r="N83" s="0" t="str">
        <f aca="false">IF(C83="","",IF(AND(ISNUMBER(FIND("@",C83)),ISNUMBER(FIND(".",C83,FIND("@",C83))),ISERROR(FIND(" ",C83))),"OK","INVALID"))</f>
        <v/>
      </c>
      <c r="O83" s="0" t="str">
        <f aca="false">IF(C83="","",IF(COUNTIF($C$2:$C$500,C83)&gt;1,"DUPLICATE","OK"))</f>
        <v/>
      </c>
    </row>
    <row r="84" customFormat="false" ht="15" hidden="false" customHeight="false" outlineLevel="0" collapsed="false">
      <c r="I84" s="7"/>
      <c r="J84" s="7"/>
      <c r="M84" s="8"/>
      <c r="N84" s="0" t="str">
        <f aca="false">IF(C84="","",IF(AND(ISNUMBER(FIND("@",C84)),ISNUMBER(FIND(".",C84,FIND("@",C84))),ISERROR(FIND(" ",C84))),"OK","INVALID"))</f>
        <v/>
      </c>
      <c r="O84" s="0" t="str">
        <f aca="false">IF(C84="","",IF(COUNTIF($C$2:$C$500,C84)&gt;1,"DUPLICATE","OK"))</f>
        <v/>
      </c>
    </row>
    <row r="85" customFormat="false" ht="15" hidden="false" customHeight="false" outlineLevel="0" collapsed="false">
      <c r="I85" s="7"/>
      <c r="J85" s="7"/>
      <c r="M85" s="8"/>
      <c r="N85" s="0" t="str">
        <f aca="false">IF(C85="","",IF(AND(ISNUMBER(FIND("@",C85)),ISNUMBER(FIND(".",C85,FIND("@",C85))),ISERROR(FIND(" ",C85))),"OK","INVALID"))</f>
        <v/>
      </c>
      <c r="O85" s="0" t="str">
        <f aca="false">IF(C85="","",IF(COUNTIF($C$2:$C$500,C85)&gt;1,"DUPLICATE","OK"))</f>
        <v/>
      </c>
    </row>
    <row r="86" customFormat="false" ht="15" hidden="false" customHeight="false" outlineLevel="0" collapsed="false">
      <c r="I86" s="7"/>
      <c r="J86" s="7"/>
      <c r="M86" s="8"/>
      <c r="N86" s="0" t="str">
        <f aca="false">IF(C86="","",IF(AND(ISNUMBER(FIND("@",C86)),ISNUMBER(FIND(".",C86,FIND("@",C86))),ISERROR(FIND(" ",C86))),"OK","INVALID"))</f>
        <v/>
      </c>
      <c r="O86" s="0" t="str">
        <f aca="false">IF(C86="","",IF(COUNTIF($C$2:$C$500,C86)&gt;1,"DUPLICATE","OK"))</f>
        <v/>
      </c>
    </row>
    <row r="87" customFormat="false" ht="15" hidden="false" customHeight="false" outlineLevel="0" collapsed="false">
      <c r="I87" s="7"/>
      <c r="J87" s="7"/>
      <c r="M87" s="8"/>
      <c r="N87" s="0" t="str">
        <f aca="false">IF(C87="","",IF(AND(ISNUMBER(FIND("@",C87)),ISNUMBER(FIND(".",C87,FIND("@",C87))),ISERROR(FIND(" ",C87))),"OK","INVALID"))</f>
        <v/>
      </c>
      <c r="O87" s="0" t="str">
        <f aca="false">IF(C87="","",IF(COUNTIF($C$2:$C$500,C87)&gt;1,"DUPLICATE","OK"))</f>
        <v/>
      </c>
    </row>
    <row r="88" customFormat="false" ht="15" hidden="false" customHeight="false" outlineLevel="0" collapsed="false">
      <c r="I88" s="7"/>
      <c r="J88" s="7"/>
      <c r="M88" s="8"/>
      <c r="N88" s="0" t="str">
        <f aca="false">IF(C88="","",IF(AND(ISNUMBER(FIND("@",C88)),ISNUMBER(FIND(".",C88,FIND("@",C88))),ISERROR(FIND(" ",C88))),"OK","INVALID"))</f>
        <v/>
      </c>
      <c r="O88" s="0" t="str">
        <f aca="false">IF(C88="","",IF(COUNTIF($C$2:$C$500,C88)&gt;1,"DUPLICATE","OK"))</f>
        <v/>
      </c>
    </row>
    <row r="89" customFormat="false" ht="15" hidden="false" customHeight="false" outlineLevel="0" collapsed="false">
      <c r="I89" s="7"/>
      <c r="J89" s="7"/>
      <c r="M89" s="8"/>
      <c r="N89" s="0" t="str">
        <f aca="false">IF(C89="","",IF(AND(ISNUMBER(FIND("@",C89)),ISNUMBER(FIND(".",C89,FIND("@",C89))),ISERROR(FIND(" ",C89))),"OK","INVALID"))</f>
        <v/>
      </c>
      <c r="O89" s="0" t="str">
        <f aca="false">IF(C89="","",IF(COUNTIF($C$2:$C$500,C89)&gt;1,"DUPLICATE","OK"))</f>
        <v/>
      </c>
    </row>
    <row r="90" customFormat="false" ht="15" hidden="false" customHeight="false" outlineLevel="0" collapsed="false">
      <c r="I90" s="7"/>
      <c r="J90" s="7"/>
      <c r="M90" s="8"/>
      <c r="N90" s="0" t="str">
        <f aca="false">IF(C90="","",IF(AND(ISNUMBER(FIND("@",C90)),ISNUMBER(FIND(".",C90,FIND("@",C90))),ISERROR(FIND(" ",C90))),"OK","INVALID"))</f>
        <v/>
      </c>
      <c r="O90" s="0" t="str">
        <f aca="false">IF(C90="","",IF(COUNTIF($C$2:$C$500,C90)&gt;1,"DUPLICATE","OK"))</f>
        <v/>
      </c>
    </row>
    <row r="91" customFormat="false" ht="15" hidden="false" customHeight="false" outlineLevel="0" collapsed="false">
      <c r="I91" s="7"/>
      <c r="J91" s="7"/>
      <c r="M91" s="8"/>
      <c r="N91" s="0" t="str">
        <f aca="false">IF(C91="","",IF(AND(ISNUMBER(FIND("@",C91)),ISNUMBER(FIND(".",C91,FIND("@",C91))),ISERROR(FIND(" ",C91))),"OK","INVALID"))</f>
        <v/>
      </c>
      <c r="O91" s="0" t="str">
        <f aca="false">IF(C91="","",IF(COUNTIF($C$2:$C$500,C91)&gt;1,"DUPLICATE","OK"))</f>
        <v/>
      </c>
    </row>
    <row r="92" customFormat="false" ht="15" hidden="false" customHeight="false" outlineLevel="0" collapsed="false">
      <c r="I92" s="7"/>
      <c r="J92" s="7"/>
      <c r="M92" s="8"/>
      <c r="N92" s="0" t="str">
        <f aca="false">IF(C92="","",IF(AND(ISNUMBER(FIND("@",C92)),ISNUMBER(FIND(".",C92,FIND("@",C92))),ISERROR(FIND(" ",C92))),"OK","INVALID"))</f>
        <v/>
      </c>
      <c r="O92" s="0" t="str">
        <f aca="false">IF(C92="","",IF(COUNTIF($C$2:$C$500,C92)&gt;1,"DUPLICATE","OK"))</f>
        <v/>
      </c>
    </row>
    <row r="93" customFormat="false" ht="15" hidden="false" customHeight="false" outlineLevel="0" collapsed="false">
      <c r="I93" s="7"/>
      <c r="J93" s="7"/>
      <c r="M93" s="8"/>
      <c r="N93" s="0" t="str">
        <f aca="false">IF(C93="","",IF(AND(ISNUMBER(FIND("@",C93)),ISNUMBER(FIND(".",C93,FIND("@",C93))),ISERROR(FIND(" ",C93))),"OK","INVALID"))</f>
        <v/>
      </c>
      <c r="O93" s="0" t="str">
        <f aca="false">IF(C93="","",IF(COUNTIF($C$2:$C$500,C93)&gt;1,"DUPLICATE","OK"))</f>
        <v/>
      </c>
    </row>
    <row r="94" customFormat="false" ht="15" hidden="false" customHeight="false" outlineLevel="0" collapsed="false">
      <c r="I94" s="7"/>
      <c r="J94" s="7"/>
      <c r="M94" s="8"/>
      <c r="N94" s="0" t="str">
        <f aca="false">IF(C94="","",IF(AND(ISNUMBER(FIND("@",C94)),ISNUMBER(FIND(".",C94,FIND("@",C94))),ISERROR(FIND(" ",C94))),"OK","INVALID"))</f>
        <v/>
      </c>
      <c r="O94" s="0" t="str">
        <f aca="false">IF(C94="","",IF(COUNTIF($C$2:$C$500,C94)&gt;1,"DUPLICATE","OK"))</f>
        <v/>
      </c>
    </row>
    <row r="95" customFormat="false" ht="15" hidden="false" customHeight="false" outlineLevel="0" collapsed="false">
      <c r="I95" s="7"/>
      <c r="J95" s="7"/>
      <c r="M95" s="8"/>
      <c r="N95" s="0" t="str">
        <f aca="false">IF(C95="","",IF(AND(ISNUMBER(FIND("@",C95)),ISNUMBER(FIND(".",C95,FIND("@",C95))),ISERROR(FIND(" ",C95))),"OK","INVALID"))</f>
        <v/>
      </c>
      <c r="O95" s="0" t="str">
        <f aca="false">IF(C95="","",IF(COUNTIF($C$2:$C$500,C95)&gt;1,"DUPLICATE","OK"))</f>
        <v/>
      </c>
    </row>
    <row r="96" customFormat="false" ht="15" hidden="false" customHeight="false" outlineLevel="0" collapsed="false">
      <c r="I96" s="7"/>
      <c r="J96" s="7"/>
      <c r="M96" s="8"/>
      <c r="N96" s="0" t="str">
        <f aca="false">IF(C96="","",IF(AND(ISNUMBER(FIND("@",C96)),ISNUMBER(FIND(".",C96,FIND("@",C96))),ISERROR(FIND(" ",C96))),"OK","INVALID"))</f>
        <v/>
      </c>
      <c r="O96" s="0" t="str">
        <f aca="false">IF(C96="","",IF(COUNTIF($C$2:$C$500,C96)&gt;1,"DUPLICATE","OK"))</f>
        <v/>
      </c>
    </row>
    <row r="97" customFormat="false" ht="15" hidden="false" customHeight="false" outlineLevel="0" collapsed="false">
      <c r="I97" s="7"/>
      <c r="J97" s="7"/>
      <c r="M97" s="8"/>
      <c r="N97" s="0" t="str">
        <f aca="false">IF(C97="","",IF(AND(ISNUMBER(FIND("@",C97)),ISNUMBER(FIND(".",C97,FIND("@",C97))),ISERROR(FIND(" ",C97))),"OK","INVALID"))</f>
        <v/>
      </c>
      <c r="O97" s="0" t="str">
        <f aca="false">IF(C97="","",IF(COUNTIF($C$2:$C$500,C97)&gt;1,"DUPLICATE","OK"))</f>
        <v/>
      </c>
    </row>
    <row r="98" customFormat="false" ht="15" hidden="false" customHeight="false" outlineLevel="0" collapsed="false">
      <c r="I98" s="7"/>
      <c r="J98" s="7"/>
      <c r="M98" s="8"/>
      <c r="N98" s="0" t="str">
        <f aca="false">IF(C98="","",IF(AND(ISNUMBER(FIND("@",C98)),ISNUMBER(FIND(".",C98,FIND("@",C98))),ISERROR(FIND(" ",C98))),"OK","INVALID"))</f>
        <v/>
      </c>
      <c r="O98" s="0" t="str">
        <f aca="false">IF(C98="","",IF(COUNTIF($C$2:$C$500,C98)&gt;1,"DUPLICATE","OK"))</f>
        <v/>
      </c>
    </row>
    <row r="99" customFormat="false" ht="15" hidden="false" customHeight="false" outlineLevel="0" collapsed="false">
      <c r="I99" s="7"/>
      <c r="J99" s="7"/>
      <c r="M99" s="8"/>
      <c r="N99" s="0" t="str">
        <f aca="false">IF(C99="","",IF(AND(ISNUMBER(FIND("@",C99)),ISNUMBER(FIND(".",C99,FIND("@",C99))),ISERROR(FIND(" ",C99))),"OK","INVALID"))</f>
        <v/>
      </c>
      <c r="O99" s="0" t="str">
        <f aca="false">IF(C99="","",IF(COUNTIF($C$2:$C$500,C99)&gt;1,"DUPLICATE","OK"))</f>
        <v/>
      </c>
    </row>
    <row r="100" customFormat="false" ht="15" hidden="false" customHeight="false" outlineLevel="0" collapsed="false">
      <c r="I100" s="7"/>
      <c r="J100" s="7"/>
      <c r="M100" s="8"/>
      <c r="N100" s="0" t="str">
        <f aca="false">IF(C100="","",IF(AND(ISNUMBER(FIND("@",C100)),ISNUMBER(FIND(".",C100,FIND("@",C100))),ISERROR(FIND(" ",C100))),"OK","INVALID"))</f>
        <v/>
      </c>
      <c r="O100" s="0" t="str">
        <f aca="false">IF(C100="","",IF(COUNTIF($C$2:$C$500,C100)&gt;1,"DUPLICATE","OK"))</f>
        <v/>
      </c>
    </row>
    <row r="101" customFormat="false" ht="15" hidden="false" customHeight="false" outlineLevel="0" collapsed="false">
      <c r="I101" s="7"/>
      <c r="J101" s="7"/>
      <c r="M101" s="8"/>
      <c r="N101" s="0" t="str">
        <f aca="false">IF(C101="","",IF(AND(ISNUMBER(FIND("@",C101)),ISNUMBER(FIND(".",C101,FIND("@",C101))),ISERROR(FIND(" ",C101))),"OK","INVALID"))</f>
        <v/>
      </c>
      <c r="O101" s="0" t="str">
        <f aca="false">IF(C101="","",IF(COUNTIF($C$2:$C$500,C101)&gt;1,"DUPLICATE","OK"))</f>
        <v/>
      </c>
    </row>
    <row r="102" customFormat="false" ht="15" hidden="false" customHeight="false" outlineLevel="0" collapsed="false">
      <c r="I102" s="7"/>
      <c r="J102" s="7"/>
      <c r="M102" s="8"/>
      <c r="N102" s="0" t="str">
        <f aca="false">IF(C102="","",IF(AND(ISNUMBER(FIND("@",C102)),ISNUMBER(FIND(".",C102,FIND("@",C102))),ISERROR(FIND(" ",C102))),"OK","INVALID"))</f>
        <v/>
      </c>
      <c r="O102" s="0" t="str">
        <f aca="false">IF(C102="","",IF(COUNTIF($C$2:$C$500,C102)&gt;1,"DUPLICATE","OK"))</f>
        <v/>
      </c>
    </row>
    <row r="103" customFormat="false" ht="15" hidden="false" customHeight="false" outlineLevel="0" collapsed="false">
      <c r="I103" s="7"/>
      <c r="J103" s="7"/>
      <c r="M103" s="8"/>
      <c r="N103" s="0" t="str">
        <f aca="false">IF(C103="","",IF(AND(ISNUMBER(FIND("@",C103)),ISNUMBER(FIND(".",C103,FIND("@",C103))),ISERROR(FIND(" ",C103))),"OK","INVALID"))</f>
        <v/>
      </c>
      <c r="O103" s="0" t="str">
        <f aca="false">IF(C103="","",IF(COUNTIF($C$2:$C$500,C103)&gt;1,"DUPLICATE","OK"))</f>
        <v/>
      </c>
    </row>
    <row r="104" customFormat="false" ht="15" hidden="false" customHeight="false" outlineLevel="0" collapsed="false">
      <c r="I104" s="7"/>
      <c r="J104" s="7"/>
      <c r="M104" s="8"/>
      <c r="N104" s="0" t="str">
        <f aca="false">IF(C104="","",IF(AND(ISNUMBER(FIND("@",C104)),ISNUMBER(FIND(".",C104,FIND("@",C104))),ISERROR(FIND(" ",C104))),"OK","INVALID"))</f>
        <v/>
      </c>
      <c r="O104" s="0" t="str">
        <f aca="false">IF(C104="","",IF(COUNTIF($C$2:$C$500,C104)&gt;1,"DUPLICATE","OK"))</f>
        <v/>
      </c>
    </row>
    <row r="105" customFormat="false" ht="15" hidden="false" customHeight="false" outlineLevel="0" collapsed="false">
      <c r="I105" s="7"/>
      <c r="J105" s="7"/>
      <c r="M105" s="8"/>
      <c r="N105" s="0" t="str">
        <f aca="false">IF(C105="","",IF(AND(ISNUMBER(FIND("@",C105)),ISNUMBER(FIND(".",C105,FIND("@",C105))),ISERROR(FIND(" ",C105))),"OK","INVALID"))</f>
        <v/>
      </c>
      <c r="O105" s="0" t="str">
        <f aca="false">IF(C105="","",IF(COUNTIF($C$2:$C$500,C105)&gt;1,"DUPLICATE","OK"))</f>
        <v/>
      </c>
    </row>
    <row r="106" customFormat="false" ht="15" hidden="false" customHeight="false" outlineLevel="0" collapsed="false">
      <c r="I106" s="7"/>
      <c r="J106" s="7"/>
      <c r="M106" s="8"/>
      <c r="N106" s="0" t="str">
        <f aca="false">IF(C106="","",IF(AND(ISNUMBER(FIND("@",C106)),ISNUMBER(FIND(".",C106,FIND("@",C106))),ISERROR(FIND(" ",C106))),"OK","INVALID"))</f>
        <v/>
      </c>
      <c r="O106" s="0" t="str">
        <f aca="false">IF(C106="","",IF(COUNTIF($C$2:$C$500,C106)&gt;1,"DUPLICATE","OK"))</f>
        <v/>
      </c>
    </row>
    <row r="107" customFormat="false" ht="15" hidden="false" customHeight="false" outlineLevel="0" collapsed="false">
      <c r="I107" s="7"/>
      <c r="J107" s="7"/>
      <c r="M107" s="8"/>
      <c r="N107" s="0" t="str">
        <f aca="false">IF(C107="","",IF(AND(ISNUMBER(FIND("@",C107)),ISNUMBER(FIND(".",C107,FIND("@",C107))),ISERROR(FIND(" ",C107))),"OK","INVALID"))</f>
        <v/>
      </c>
      <c r="O107" s="0" t="str">
        <f aca="false">IF(C107="","",IF(COUNTIF($C$2:$C$500,C107)&gt;1,"DUPLICATE","OK"))</f>
        <v/>
      </c>
    </row>
    <row r="108" customFormat="false" ht="15" hidden="false" customHeight="false" outlineLevel="0" collapsed="false">
      <c r="I108" s="7"/>
      <c r="J108" s="7"/>
      <c r="M108" s="8"/>
      <c r="N108" s="0" t="str">
        <f aca="false">IF(C108="","",IF(AND(ISNUMBER(FIND("@",C108)),ISNUMBER(FIND(".",C108,FIND("@",C108))),ISERROR(FIND(" ",C108))),"OK","INVALID"))</f>
        <v/>
      </c>
      <c r="O108" s="0" t="str">
        <f aca="false">IF(C108="","",IF(COUNTIF($C$2:$C$500,C108)&gt;1,"DUPLICATE","OK"))</f>
        <v/>
      </c>
    </row>
    <row r="109" customFormat="false" ht="15" hidden="false" customHeight="false" outlineLevel="0" collapsed="false">
      <c r="I109" s="7"/>
      <c r="J109" s="7"/>
      <c r="M109" s="8"/>
      <c r="N109" s="0" t="str">
        <f aca="false">IF(C109="","",IF(AND(ISNUMBER(FIND("@",C109)),ISNUMBER(FIND(".",C109,FIND("@",C109))),ISERROR(FIND(" ",C109))),"OK","INVALID"))</f>
        <v/>
      </c>
      <c r="O109" s="0" t="str">
        <f aca="false">IF(C109="","",IF(COUNTIF($C$2:$C$500,C109)&gt;1,"DUPLICATE","OK"))</f>
        <v/>
      </c>
    </row>
    <row r="110" customFormat="false" ht="15" hidden="false" customHeight="false" outlineLevel="0" collapsed="false">
      <c r="I110" s="7"/>
      <c r="J110" s="7"/>
      <c r="M110" s="8"/>
      <c r="N110" s="0" t="str">
        <f aca="false">IF(C110="","",IF(AND(ISNUMBER(FIND("@",C110)),ISNUMBER(FIND(".",C110,FIND("@",C110))),ISERROR(FIND(" ",C110))),"OK","INVALID"))</f>
        <v/>
      </c>
      <c r="O110" s="0" t="str">
        <f aca="false">IF(C110="","",IF(COUNTIF($C$2:$C$500,C110)&gt;1,"DUPLICATE","OK"))</f>
        <v/>
      </c>
    </row>
    <row r="111" customFormat="false" ht="15" hidden="false" customHeight="false" outlineLevel="0" collapsed="false">
      <c r="I111" s="7"/>
      <c r="J111" s="7"/>
      <c r="M111" s="8"/>
      <c r="N111" s="0" t="str">
        <f aca="false">IF(C111="","",IF(AND(ISNUMBER(FIND("@",C111)),ISNUMBER(FIND(".",C111,FIND("@",C111))),ISERROR(FIND(" ",C111))),"OK","INVALID"))</f>
        <v/>
      </c>
      <c r="O111" s="0" t="str">
        <f aca="false">IF(C111="","",IF(COUNTIF($C$2:$C$500,C111)&gt;1,"DUPLICATE","OK"))</f>
        <v/>
      </c>
    </row>
    <row r="112" customFormat="false" ht="15" hidden="false" customHeight="false" outlineLevel="0" collapsed="false">
      <c r="I112" s="7"/>
      <c r="J112" s="7"/>
      <c r="M112" s="8"/>
      <c r="N112" s="0" t="str">
        <f aca="false">IF(C112="","",IF(AND(ISNUMBER(FIND("@",C112)),ISNUMBER(FIND(".",C112,FIND("@",C112))),ISERROR(FIND(" ",C112))),"OK","INVALID"))</f>
        <v/>
      </c>
      <c r="O112" s="0" t="str">
        <f aca="false">IF(C112="","",IF(COUNTIF($C$2:$C$500,C112)&gt;1,"DUPLICATE","OK"))</f>
        <v/>
      </c>
    </row>
    <row r="113" customFormat="false" ht="15" hidden="false" customHeight="false" outlineLevel="0" collapsed="false">
      <c r="I113" s="7"/>
      <c r="J113" s="7"/>
      <c r="M113" s="8"/>
      <c r="N113" s="0" t="str">
        <f aca="false">IF(C113="","",IF(AND(ISNUMBER(FIND("@",C113)),ISNUMBER(FIND(".",C113,FIND("@",C113))),ISERROR(FIND(" ",C113))),"OK","INVALID"))</f>
        <v/>
      </c>
      <c r="O113" s="0" t="str">
        <f aca="false">IF(C113="","",IF(COUNTIF($C$2:$C$500,C113)&gt;1,"DUPLICATE","OK"))</f>
        <v/>
      </c>
    </row>
    <row r="114" customFormat="false" ht="15" hidden="false" customHeight="false" outlineLevel="0" collapsed="false">
      <c r="I114" s="7"/>
      <c r="J114" s="7"/>
      <c r="M114" s="8"/>
      <c r="N114" s="0" t="str">
        <f aca="false">IF(C114="","",IF(AND(ISNUMBER(FIND("@",C114)),ISNUMBER(FIND(".",C114,FIND("@",C114))),ISERROR(FIND(" ",C114))),"OK","INVALID"))</f>
        <v/>
      </c>
      <c r="O114" s="0" t="str">
        <f aca="false">IF(C114="","",IF(COUNTIF($C$2:$C$500,C114)&gt;1,"DUPLICATE","OK"))</f>
        <v/>
      </c>
    </row>
    <row r="115" customFormat="false" ht="15" hidden="false" customHeight="false" outlineLevel="0" collapsed="false">
      <c r="I115" s="7"/>
      <c r="J115" s="7"/>
      <c r="M115" s="8"/>
      <c r="N115" s="0" t="str">
        <f aca="false">IF(C115="","",IF(AND(ISNUMBER(FIND("@",C115)),ISNUMBER(FIND(".",C115,FIND("@",C115))),ISERROR(FIND(" ",C115))),"OK","INVALID"))</f>
        <v/>
      </c>
      <c r="O115" s="0" t="str">
        <f aca="false">IF(C115="","",IF(COUNTIF($C$2:$C$500,C115)&gt;1,"DUPLICATE","OK"))</f>
        <v/>
      </c>
    </row>
    <row r="116" customFormat="false" ht="15" hidden="false" customHeight="false" outlineLevel="0" collapsed="false">
      <c r="I116" s="7"/>
      <c r="J116" s="7"/>
      <c r="M116" s="8"/>
      <c r="N116" s="0" t="str">
        <f aca="false">IF(C116="","",IF(AND(ISNUMBER(FIND("@",C116)),ISNUMBER(FIND(".",C116,FIND("@",C116))),ISERROR(FIND(" ",C116))),"OK","INVALID"))</f>
        <v/>
      </c>
      <c r="O116" s="0" t="str">
        <f aca="false">IF(C116="","",IF(COUNTIF($C$2:$C$500,C116)&gt;1,"DUPLICATE","OK"))</f>
        <v/>
      </c>
    </row>
    <row r="117" customFormat="false" ht="15" hidden="false" customHeight="false" outlineLevel="0" collapsed="false">
      <c r="I117" s="7"/>
      <c r="J117" s="7"/>
      <c r="M117" s="8"/>
      <c r="N117" s="0" t="str">
        <f aca="false">IF(C117="","",IF(AND(ISNUMBER(FIND("@",C117)),ISNUMBER(FIND(".",C117,FIND("@",C117))),ISERROR(FIND(" ",C117))),"OK","INVALID"))</f>
        <v/>
      </c>
      <c r="O117" s="0" t="str">
        <f aca="false">IF(C117="","",IF(COUNTIF($C$2:$C$500,C117)&gt;1,"DUPLICATE","OK"))</f>
        <v/>
      </c>
    </row>
    <row r="118" customFormat="false" ht="15" hidden="false" customHeight="false" outlineLevel="0" collapsed="false">
      <c r="I118" s="7"/>
      <c r="J118" s="7"/>
      <c r="M118" s="8"/>
      <c r="N118" s="0" t="str">
        <f aca="false">IF(C118="","",IF(AND(ISNUMBER(FIND("@",C118)),ISNUMBER(FIND(".",C118,FIND("@",C118))),ISERROR(FIND(" ",C118))),"OK","INVALID"))</f>
        <v/>
      </c>
      <c r="O118" s="0" t="str">
        <f aca="false">IF(C118="","",IF(COUNTIF($C$2:$C$500,C118)&gt;1,"DUPLICATE","OK"))</f>
        <v/>
      </c>
    </row>
    <row r="119" customFormat="false" ht="15" hidden="false" customHeight="false" outlineLevel="0" collapsed="false">
      <c r="I119" s="7"/>
      <c r="J119" s="7"/>
      <c r="M119" s="8"/>
      <c r="N119" s="0" t="str">
        <f aca="false">IF(C119="","",IF(AND(ISNUMBER(FIND("@",C119)),ISNUMBER(FIND(".",C119,FIND("@",C119))),ISERROR(FIND(" ",C119))),"OK","INVALID"))</f>
        <v/>
      </c>
      <c r="O119" s="0" t="str">
        <f aca="false">IF(C119="","",IF(COUNTIF($C$2:$C$500,C119)&gt;1,"DUPLICATE","OK"))</f>
        <v/>
      </c>
    </row>
    <row r="120" customFormat="false" ht="15" hidden="false" customHeight="false" outlineLevel="0" collapsed="false">
      <c r="I120" s="7"/>
      <c r="J120" s="7"/>
      <c r="M120" s="8"/>
      <c r="N120" s="0" t="str">
        <f aca="false">IF(C120="","",IF(AND(ISNUMBER(FIND("@",C120)),ISNUMBER(FIND(".",C120,FIND("@",C120))),ISERROR(FIND(" ",C120))),"OK","INVALID"))</f>
        <v/>
      </c>
      <c r="O120" s="0" t="str">
        <f aca="false">IF(C120="","",IF(COUNTIF($C$2:$C$500,C120)&gt;1,"DUPLICATE","OK"))</f>
        <v/>
      </c>
    </row>
    <row r="121" customFormat="false" ht="15" hidden="false" customHeight="false" outlineLevel="0" collapsed="false">
      <c r="I121" s="7"/>
      <c r="J121" s="7"/>
      <c r="M121" s="8"/>
      <c r="N121" s="0" t="str">
        <f aca="false">IF(C121="","",IF(AND(ISNUMBER(FIND("@",C121)),ISNUMBER(FIND(".",C121,FIND("@",C121))),ISERROR(FIND(" ",C121))),"OK","INVALID"))</f>
        <v/>
      </c>
      <c r="O121" s="0" t="str">
        <f aca="false">IF(C121="","",IF(COUNTIF($C$2:$C$500,C121)&gt;1,"DUPLICATE","OK"))</f>
        <v/>
      </c>
    </row>
    <row r="122" customFormat="false" ht="15" hidden="false" customHeight="false" outlineLevel="0" collapsed="false">
      <c r="I122" s="7"/>
      <c r="J122" s="7"/>
      <c r="M122" s="8"/>
      <c r="N122" s="0" t="str">
        <f aca="false">IF(C122="","",IF(AND(ISNUMBER(FIND("@",C122)),ISNUMBER(FIND(".",C122,FIND("@",C122))),ISERROR(FIND(" ",C122))),"OK","INVALID"))</f>
        <v/>
      </c>
      <c r="O122" s="0" t="str">
        <f aca="false">IF(C122="","",IF(COUNTIF($C$2:$C$500,C122)&gt;1,"DUPLICATE","OK"))</f>
        <v/>
      </c>
    </row>
    <row r="123" customFormat="false" ht="15" hidden="false" customHeight="false" outlineLevel="0" collapsed="false">
      <c r="I123" s="7"/>
      <c r="J123" s="7"/>
      <c r="M123" s="8"/>
      <c r="N123" s="0" t="str">
        <f aca="false">IF(C123="","",IF(AND(ISNUMBER(FIND("@",C123)),ISNUMBER(FIND(".",C123,FIND("@",C123))),ISERROR(FIND(" ",C123))),"OK","INVALID"))</f>
        <v/>
      </c>
      <c r="O123" s="0" t="str">
        <f aca="false">IF(C123="","",IF(COUNTIF($C$2:$C$500,C123)&gt;1,"DUPLICATE","OK"))</f>
        <v/>
      </c>
    </row>
    <row r="124" customFormat="false" ht="15" hidden="false" customHeight="false" outlineLevel="0" collapsed="false">
      <c r="I124" s="7"/>
      <c r="J124" s="7"/>
      <c r="M124" s="8"/>
      <c r="N124" s="0" t="str">
        <f aca="false">IF(C124="","",IF(AND(ISNUMBER(FIND("@",C124)),ISNUMBER(FIND(".",C124,FIND("@",C124))),ISERROR(FIND(" ",C124))),"OK","INVALID"))</f>
        <v/>
      </c>
      <c r="O124" s="0" t="str">
        <f aca="false">IF(C124="","",IF(COUNTIF($C$2:$C$500,C124)&gt;1,"DUPLICATE","OK"))</f>
        <v/>
      </c>
    </row>
    <row r="125" customFormat="false" ht="15" hidden="false" customHeight="false" outlineLevel="0" collapsed="false">
      <c r="I125" s="7"/>
      <c r="J125" s="7"/>
      <c r="M125" s="8"/>
      <c r="N125" s="0" t="str">
        <f aca="false">IF(C125="","",IF(AND(ISNUMBER(FIND("@",C125)),ISNUMBER(FIND(".",C125,FIND("@",C125))),ISERROR(FIND(" ",C125))),"OK","INVALID"))</f>
        <v/>
      </c>
      <c r="O125" s="0" t="str">
        <f aca="false">IF(C125="","",IF(COUNTIF($C$2:$C$500,C125)&gt;1,"DUPLICATE","OK"))</f>
        <v/>
      </c>
    </row>
    <row r="126" customFormat="false" ht="15" hidden="false" customHeight="false" outlineLevel="0" collapsed="false">
      <c r="I126" s="7"/>
      <c r="J126" s="7"/>
      <c r="M126" s="8"/>
      <c r="N126" s="0" t="str">
        <f aca="false">IF(C126="","",IF(AND(ISNUMBER(FIND("@",C126)),ISNUMBER(FIND(".",C126,FIND("@",C126))),ISERROR(FIND(" ",C126))),"OK","INVALID"))</f>
        <v/>
      </c>
      <c r="O126" s="0" t="str">
        <f aca="false">IF(C126="","",IF(COUNTIF($C$2:$C$500,C126)&gt;1,"DUPLICATE","OK"))</f>
        <v/>
      </c>
    </row>
    <row r="127" customFormat="false" ht="15" hidden="false" customHeight="false" outlineLevel="0" collapsed="false">
      <c r="I127" s="7"/>
      <c r="J127" s="7"/>
      <c r="M127" s="8"/>
      <c r="N127" s="0" t="str">
        <f aca="false">IF(C127="","",IF(AND(ISNUMBER(FIND("@",C127)),ISNUMBER(FIND(".",C127,FIND("@",C127))),ISERROR(FIND(" ",C127))),"OK","INVALID"))</f>
        <v/>
      </c>
      <c r="O127" s="0" t="str">
        <f aca="false">IF(C127="","",IF(COUNTIF($C$2:$C$500,C127)&gt;1,"DUPLICATE","OK"))</f>
        <v/>
      </c>
    </row>
    <row r="128" customFormat="false" ht="15" hidden="false" customHeight="false" outlineLevel="0" collapsed="false">
      <c r="I128" s="7"/>
      <c r="J128" s="7"/>
      <c r="M128" s="8"/>
      <c r="N128" s="0" t="str">
        <f aca="false">IF(C128="","",IF(AND(ISNUMBER(FIND("@",C128)),ISNUMBER(FIND(".",C128,FIND("@",C128))),ISERROR(FIND(" ",C128))),"OK","INVALID"))</f>
        <v/>
      </c>
      <c r="O128" s="0" t="str">
        <f aca="false">IF(C128="","",IF(COUNTIF($C$2:$C$500,C128)&gt;1,"DUPLICATE","OK"))</f>
        <v/>
      </c>
    </row>
    <row r="129" customFormat="false" ht="15" hidden="false" customHeight="false" outlineLevel="0" collapsed="false">
      <c r="I129" s="7"/>
      <c r="J129" s="7"/>
      <c r="M129" s="8"/>
      <c r="N129" s="0" t="str">
        <f aca="false">IF(C129="","",IF(AND(ISNUMBER(FIND("@",C129)),ISNUMBER(FIND(".",C129,FIND("@",C129))),ISERROR(FIND(" ",C129))),"OK","INVALID"))</f>
        <v/>
      </c>
      <c r="O129" s="0" t="str">
        <f aca="false">IF(C129="","",IF(COUNTIF($C$2:$C$500,C129)&gt;1,"DUPLICATE","OK"))</f>
        <v/>
      </c>
    </row>
    <row r="130" customFormat="false" ht="15" hidden="false" customHeight="false" outlineLevel="0" collapsed="false">
      <c r="I130" s="7"/>
      <c r="J130" s="7"/>
      <c r="M130" s="8"/>
      <c r="N130" s="0" t="str">
        <f aca="false">IF(C130="","",IF(AND(ISNUMBER(FIND("@",C130)),ISNUMBER(FIND(".",C130,FIND("@",C130))),ISERROR(FIND(" ",C130))),"OK","INVALID"))</f>
        <v/>
      </c>
      <c r="O130" s="0" t="str">
        <f aca="false">IF(C130="","",IF(COUNTIF($C$2:$C$500,C130)&gt;1,"DUPLICATE","OK"))</f>
        <v/>
      </c>
    </row>
    <row r="131" customFormat="false" ht="15" hidden="false" customHeight="false" outlineLevel="0" collapsed="false">
      <c r="I131" s="7"/>
      <c r="J131" s="7"/>
      <c r="M131" s="8"/>
      <c r="N131" s="0" t="str">
        <f aca="false">IF(C131="","",IF(AND(ISNUMBER(FIND("@",C131)),ISNUMBER(FIND(".",C131,FIND("@",C131))),ISERROR(FIND(" ",C131))),"OK","INVALID"))</f>
        <v/>
      </c>
      <c r="O131" s="0" t="str">
        <f aca="false">IF(C131="","",IF(COUNTIF($C$2:$C$500,C131)&gt;1,"DUPLICATE","OK"))</f>
        <v/>
      </c>
    </row>
    <row r="132" customFormat="false" ht="15" hidden="false" customHeight="false" outlineLevel="0" collapsed="false">
      <c r="I132" s="7"/>
      <c r="J132" s="7"/>
      <c r="M132" s="8"/>
      <c r="N132" s="0" t="str">
        <f aca="false">IF(C132="","",IF(AND(ISNUMBER(FIND("@",C132)),ISNUMBER(FIND(".",C132,FIND("@",C132))),ISERROR(FIND(" ",C132))),"OK","INVALID"))</f>
        <v/>
      </c>
      <c r="O132" s="0" t="str">
        <f aca="false">IF(C132="","",IF(COUNTIF($C$2:$C$500,C132)&gt;1,"DUPLICATE","OK"))</f>
        <v/>
      </c>
    </row>
    <row r="133" customFormat="false" ht="15" hidden="false" customHeight="false" outlineLevel="0" collapsed="false">
      <c r="I133" s="7"/>
      <c r="J133" s="7"/>
      <c r="M133" s="8"/>
      <c r="N133" s="0" t="str">
        <f aca="false">IF(C133="","",IF(AND(ISNUMBER(FIND("@",C133)),ISNUMBER(FIND(".",C133,FIND("@",C133))),ISERROR(FIND(" ",C133))),"OK","INVALID"))</f>
        <v/>
      </c>
      <c r="O133" s="0" t="str">
        <f aca="false">IF(C133="","",IF(COUNTIF($C$2:$C$500,C133)&gt;1,"DUPLICATE","OK"))</f>
        <v/>
      </c>
    </row>
    <row r="134" customFormat="false" ht="15" hidden="false" customHeight="false" outlineLevel="0" collapsed="false">
      <c r="I134" s="7"/>
      <c r="J134" s="7"/>
      <c r="M134" s="8"/>
      <c r="N134" s="0" t="str">
        <f aca="false">IF(C134="","",IF(AND(ISNUMBER(FIND("@",C134)),ISNUMBER(FIND(".",C134,FIND("@",C134))),ISERROR(FIND(" ",C134))),"OK","INVALID"))</f>
        <v/>
      </c>
      <c r="O134" s="0" t="str">
        <f aca="false">IF(C134="","",IF(COUNTIF($C$2:$C$500,C134)&gt;1,"DUPLICATE","OK"))</f>
        <v/>
      </c>
    </row>
    <row r="135" customFormat="false" ht="15" hidden="false" customHeight="false" outlineLevel="0" collapsed="false">
      <c r="I135" s="7"/>
      <c r="J135" s="7"/>
      <c r="M135" s="8"/>
      <c r="N135" s="0" t="str">
        <f aca="false">IF(C135="","",IF(AND(ISNUMBER(FIND("@",C135)),ISNUMBER(FIND(".",C135,FIND("@",C135))),ISERROR(FIND(" ",C135))),"OK","INVALID"))</f>
        <v/>
      </c>
      <c r="O135" s="0" t="str">
        <f aca="false">IF(C135="","",IF(COUNTIF($C$2:$C$500,C135)&gt;1,"DUPLICATE","OK"))</f>
        <v/>
      </c>
    </row>
    <row r="136" customFormat="false" ht="15" hidden="false" customHeight="false" outlineLevel="0" collapsed="false">
      <c r="I136" s="7"/>
      <c r="J136" s="7"/>
      <c r="M136" s="8"/>
      <c r="N136" s="0" t="str">
        <f aca="false">IF(C136="","",IF(AND(ISNUMBER(FIND("@",C136)),ISNUMBER(FIND(".",C136,FIND("@",C136))),ISERROR(FIND(" ",C136))),"OK","INVALID"))</f>
        <v/>
      </c>
      <c r="O136" s="0" t="str">
        <f aca="false">IF(C136="","",IF(COUNTIF($C$2:$C$500,C136)&gt;1,"DUPLICATE","OK"))</f>
        <v/>
      </c>
    </row>
    <row r="137" customFormat="false" ht="15" hidden="false" customHeight="false" outlineLevel="0" collapsed="false">
      <c r="I137" s="7"/>
      <c r="J137" s="7"/>
      <c r="M137" s="8"/>
      <c r="N137" s="0" t="str">
        <f aca="false">IF(C137="","",IF(AND(ISNUMBER(FIND("@",C137)),ISNUMBER(FIND(".",C137,FIND("@",C137))),ISERROR(FIND(" ",C137))),"OK","INVALID"))</f>
        <v/>
      </c>
      <c r="O137" s="0" t="str">
        <f aca="false">IF(C137="","",IF(COUNTIF($C$2:$C$500,C137)&gt;1,"DUPLICATE","OK"))</f>
        <v/>
      </c>
    </row>
    <row r="138" customFormat="false" ht="15" hidden="false" customHeight="false" outlineLevel="0" collapsed="false">
      <c r="I138" s="7"/>
      <c r="J138" s="7"/>
      <c r="M138" s="8"/>
      <c r="N138" s="0" t="str">
        <f aca="false">IF(C138="","",IF(AND(ISNUMBER(FIND("@",C138)),ISNUMBER(FIND(".",C138,FIND("@",C138))),ISERROR(FIND(" ",C138))),"OK","INVALID"))</f>
        <v/>
      </c>
      <c r="O138" s="0" t="str">
        <f aca="false">IF(C138="","",IF(COUNTIF($C$2:$C$500,C138)&gt;1,"DUPLICATE","OK"))</f>
        <v/>
      </c>
    </row>
    <row r="139" customFormat="false" ht="15" hidden="false" customHeight="false" outlineLevel="0" collapsed="false">
      <c r="I139" s="7"/>
      <c r="J139" s="7"/>
      <c r="M139" s="8"/>
      <c r="N139" s="0" t="str">
        <f aca="false">IF(C139="","",IF(AND(ISNUMBER(FIND("@",C139)),ISNUMBER(FIND(".",C139,FIND("@",C139))),ISERROR(FIND(" ",C139))),"OK","INVALID"))</f>
        <v/>
      </c>
      <c r="O139" s="0" t="str">
        <f aca="false">IF(C139="","",IF(COUNTIF($C$2:$C$500,C139)&gt;1,"DUPLICATE","OK"))</f>
        <v/>
      </c>
    </row>
    <row r="140" customFormat="false" ht="15" hidden="false" customHeight="false" outlineLevel="0" collapsed="false">
      <c r="I140" s="7"/>
      <c r="J140" s="7"/>
      <c r="M140" s="8"/>
      <c r="N140" s="0" t="str">
        <f aca="false">IF(C140="","",IF(AND(ISNUMBER(FIND("@",C140)),ISNUMBER(FIND(".",C140,FIND("@",C140))),ISERROR(FIND(" ",C140))),"OK","INVALID"))</f>
        <v/>
      </c>
      <c r="O140" s="0" t="str">
        <f aca="false">IF(C140="","",IF(COUNTIF($C$2:$C$500,C140)&gt;1,"DUPLICATE","OK"))</f>
        <v/>
      </c>
    </row>
    <row r="141" customFormat="false" ht="15" hidden="false" customHeight="false" outlineLevel="0" collapsed="false">
      <c r="I141" s="7"/>
      <c r="J141" s="7"/>
      <c r="M141" s="8"/>
      <c r="N141" s="0" t="str">
        <f aca="false">IF(C141="","",IF(AND(ISNUMBER(FIND("@",C141)),ISNUMBER(FIND(".",C141,FIND("@",C141))),ISERROR(FIND(" ",C141))),"OK","INVALID"))</f>
        <v/>
      </c>
      <c r="O141" s="0" t="str">
        <f aca="false">IF(C141="","",IF(COUNTIF($C$2:$C$500,C141)&gt;1,"DUPLICATE","OK"))</f>
        <v/>
      </c>
    </row>
    <row r="142" customFormat="false" ht="15" hidden="false" customHeight="false" outlineLevel="0" collapsed="false">
      <c r="I142" s="7"/>
      <c r="J142" s="7"/>
      <c r="M142" s="8"/>
      <c r="N142" s="0" t="str">
        <f aca="false">IF(C142="","",IF(AND(ISNUMBER(FIND("@",C142)),ISNUMBER(FIND(".",C142,FIND("@",C142))),ISERROR(FIND(" ",C142))),"OK","INVALID"))</f>
        <v/>
      </c>
      <c r="O142" s="0" t="str">
        <f aca="false">IF(C142="","",IF(COUNTIF($C$2:$C$500,C142)&gt;1,"DUPLICATE","OK"))</f>
        <v/>
      </c>
    </row>
    <row r="143" customFormat="false" ht="15" hidden="false" customHeight="false" outlineLevel="0" collapsed="false">
      <c r="I143" s="7"/>
      <c r="J143" s="7"/>
      <c r="M143" s="8"/>
      <c r="N143" s="0" t="str">
        <f aca="false">IF(C143="","",IF(AND(ISNUMBER(FIND("@",C143)),ISNUMBER(FIND(".",C143,FIND("@",C143))),ISERROR(FIND(" ",C143))),"OK","INVALID"))</f>
        <v/>
      </c>
      <c r="O143" s="0" t="str">
        <f aca="false">IF(C143="","",IF(COUNTIF($C$2:$C$500,C143)&gt;1,"DUPLICATE","OK"))</f>
        <v/>
      </c>
    </row>
    <row r="144" customFormat="false" ht="15" hidden="false" customHeight="false" outlineLevel="0" collapsed="false">
      <c r="I144" s="7"/>
      <c r="J144" s="7"/>
      <c r="M144" s="8"/>
      <c r="N144" s="0" t="str">
        <f aca="false">IF(C144="","",IF(AND(ISNUMBER(FIND("@",C144)),ISNUMBER(FIND(".",C144,FIND("@",C144))),ISERROR(FIND(" ",C144))),"OK","INVALID"))</f>
        <v/>
      </c>
      <c r="O144" s="0" t="str">
        <f aca="false">IF(C144="","",IF(COUNTIF($C$2:$C$500,C144)&gt;1,"DUPLICATE","OK"))</f>
        <v/>
      </c>
    </row>
    <row r="145" customFormat="false" ht="15" hidden="false" customHeight="false" outlineLevel="0" collapsed="false">
      <c r="I145" s="7"/>
      <c r="J145" s="7"/>
      <c r="M145" s="8"/>
      <c r="N145" s="0" t="str">
        <f aca="false">IF(C145="","",IF(AND(ISNUMBER(FIND("@",C145)),ISNUMBER(FIND(".",C145,FIND("@",C145))),ISERROR(FIND(" ",C145))),"OK","INVALID"))</f>
        <v/>
      </c>
      <c r="O145" s="0" t="str">
        <f aca="false">IF(C145="","",IF(COUNTIF($C$2:$C$500,C145)&gt;1,"DUPLICATE","OK"))</f>
        <v/>
      </c>
    </row>
    <row r="146" customFormat="false" ht="15" hidden="false" customHeight="false" outlineLevel="0" collapsed="false">
      <c r="I146" s="7"/>
      <c r="J146" s="7"/>
      <c r="M146" s="8"/>
      <c r="N146" s="0" t="str">
        <f aca="false">IF(C146="","",IF(AND(ISNUMBER(FIND("@",C146)),ISNUMBER(FIND(".",C146,FIND("@",C146))),ISERROR(FIND(" ",C146))),"OK","INVALID"))</f>
        <v/>
      </c>
      <c r="O146" s="0" t="str">
        <f aca="false">IF(C146="","",IF(COUNTIF($C$2:$C$500,C146)&gt;1,"DUPLICATE","OK"))</f>
        <v/>
      </c>
    </row>
    <row r="147" customFormat="false" ht="15" hidden="false" customHeight="false" outlineLevel="0" collapsed="false">
      <c r="I147" s="7"/>
      <c r="J147" s="7"/>
      <c r="M147" s="8"/>
      <c r="N147" s="0" t="str">
        <f aca="false">IF(C147="","",IF(AND(ISNUMBER(FIND("@",C147)),ISNUMBER(FIND(".",C147,FIND("@",C147))),ISERROR(FIND(" ",C147))),"OK","INVALID"))</f>
        <v/>
      </c>
      <c r="O147" s="0" t="str">
        <f aca="false">IF(C147="","",IF(COUNTIF($C$2:$C$500,C147)&gt;1,"DUPLICATE","OK"))</f>
        <v/>
      </c>
    </row>
    <row r="148" customFormat="false" ht="15" hidden="false" customHeight="false" outlineLevel="0" collapsed="false">
      <c r="I148" s="7"/>
      <c r="J148" s="7"/>
      <c r="M148" s="8"/>
      <c r="N148" s="0" t="str">
        <f aca="false">IF(C148="","",IF(AND(ISNUMBER(FIND("@",C148)),ISNUMBER(FIND(".",C148,FIND("@",C148))),ISERROR(FIND(" ",C148))),"OK","INVALID"))</f>
        <v/>
      </c>
      <c r="O148" s="0" t="str">
        <f aca="false">IF(C148="","",IF(COUNTIF($C$2:$C$500,C148)&gt;1,"DUPLICATE","OK"))</f>
        <v/>
      </c>
    </row>
    <row r="149" customFormat="false" ht="15" hidden="false" customHeight="false" outlineLevel="0" collapsed="false">
      <c r="I149" s="7"/>
      <c r="J149" s="7"/>
      <c r="M149" s="8"/>
      <c r="N149" s="0" t="str">
        <f aca="false">IF(C149="","",IF(AND(ISNUMBER(FIND("@",C149)),ISNUMBER(FIND(".",C149,FIND("@",C149))),ISERROR(FIND(" ",C149))),"OK","INVALID"))</f>
        <v/>
      </c>
      <c r="O149" s="0" t="str">
        <f aca="false">IF(C149="","",IF(COUNTIF($C$2:$C$500,C149)&gt;1,"DUPLICATE","OK"))</f>
        <v/>
      </c>
    </row>
    <row r="150" customFormat="false" ht="15" hidden="false" customHeight="false" outlineLevel="0" collapsed="false">
      <c r="I150" s="7"/>
      <c r="J150" s="7"/>
      <c r="M150" s="8"/>
      <c r="N150" s="0" t="str">
        <f aca="false">IF(C150="","",IF(AND(ISNUMBER(FIND("@",C150)),ISNUMBER(FIND(".",C150,FIND("@",C150))),ISERROR(FIND(" ",C150))),"OK","INVALID"))</f>
        <v/>
      </c>
      <c r="O150" s="0" t="str">
        <f aca="false">IF(C150="","",IF(COUNTIF($C$2:$C$500,C150)&gt;1,"DUPLICATE","OK"))</f>
        <v/>
      </c>
    </row>
    <row r="151" customFormat="false" ht="15" hidden="false" customHeight="false" outlineLevel="0" collapsed="false">
      <c r="I151" s="7"/>
      <c r="J151" s="7"/>
      <c r="M151" s="8"/>
      <c r="N151" s="0" t="str">
        <f aca="false">IF(C151="","",IF(AND(ISNUMBER(FIND("@",C151)),ISNUMBER(FIND(".",C151,FIND("@",C151))),ISERROR(FIND(" ",C151))),"OK","INVALID"))</f>
        <v/>
      </c>
      <c r="O151" s="0" t="str">
        <f aca="false">IF(C151="","",IF(COUNTIF($C$2:$C$500,C151)&gt;1,"DUPLICATE","OK"))</f>
        <v/>
      </c>
    </row>
    <row r="152" customFormat="false" ht="15" hidden="false" customHeight="false" outlineLevel="0" collapsed="false">
      <c r="I152" s="7"/>
      <c r="J152" s="7"/>
      <c r="M152" s="8"/>
      <c r="N152" s="0" t="str">
        <f aca="false">IF(C152="","",IF(AND(ISNUMBER(FIND("@",C152)),ISNUMBER(FIND(".",C152,FIND("@",C152))),ISERROR(FIND(" ",C152))),"OK","INVALID"))</f>
        <v/>
      </c>
      <c r="O152" s="0" t="str">
        <f aca="false">IF(C152="","",IF(COUNTIF($C$2:$C$500,C152)&gt;1,"DUPLICATE","OK"))</f>
        <v/>
      </c>
    </row>
    <row r="153" customFormat="false" ht="15" hidden="false" customHeight="false" outlineLevel="0" collapsed="false">
      <c r="I153" s="7"/>
      <c r="J153" s="7"/>
      <c r="M153" s="8"/>
      <c r="N153" s="0" t="str">
        <f aca="false">IF(C153="","",IF(AND(ISNUMBER(FIND("@",C153)),ISNUMBER(FIND(".",C153,FIND("@",C153))),ISERROR(FIND(" ",C153))),"OK","INVALID"))</f>
        <v/>
      </c>
      <c r="O153" s="0" t="str">
        <f aca="false">IF(C153="","",IF(COUNTIF($C$2:$C$500,C153)&gt;1,"DUPLICATE","OK"))</f>
        <v/>
      </c>
    </row>
    <row r="154" customFormat="false" ht="15" hidden="false" customHeight="false" outlineLevel="0" collapsed="false">
      <c r="I154" s="7"/>
      <c r="J154" s="7"/>
      <c r="M154" s="8"/>
      <c r="N154" s="0" t="str">
        <f aca="false">IF(C154="","",IF(AND(ISNUMBER(FIND("@",C154)),ISNUMBER(FIND(".",C154,FIND("@",C154))),ISERROR(FIND(" ",C154))),"OK","INVALID"))</f>
        <v/>
      </c>
      <c r="O154" s="0" t="str">
        <f aca="false">IF(C154="","",IF(COUNTIF($C$2:$C$500,C154)&gt;1,"DUPLICATE","OK"))</f>
        <v/>
      </c>
    </row>
    <row r="155" customFormat="false" ht="15" hidden="false" customHeight="false" outlineLevel="0" collapsed="false">
      <c r="I155" s="7"/>
      <c r="J155" s="7"/>
      <c r="M155" s="8"/>
      <c r="N155" s="0" t="str">
        <f aca="false">IF(C155="","",IF(AND(ISNUMBER(FIND("@",C155)),ISNUMBER(FIND(".",C155,FIND("@",C155))),ISERROR(FIND(" ",C155))),"OK","INVALID"))</f>
        <v/>
      </c>
      <c r="O155" s="0" t="str">
        <f aca="false">IF(C155="","",IF(COUNTIF($C$2:$C$500,C155)&gt;1,"DUPLICATE","OK"))</f>
        <v/>
      </c>
    </row>
    <row r="156" customFormat="false" ht="15" hidden="false" customHeight="false" outlineLevel="0" collapsed="false">
      <c r="I156" s="7"/>
      <c r="J156" s="7"/>
      <c r="M156" s="8"/>
      <c r="N156" s="0" t="str">
        <f aca="false">IF(C156="","",IF(AND(ISNUMBER(FIND("@",C156)),ISNUMBER(FIND(".",C156,FIND("@",C156))),ISERROR(FIND(" ",C156))),"OK","INVALID"))</f>
        <v/>
      </c>
      <c r="O156" s="0" t="str">
        <f aca="false">IF(C156="","",IF(COUNTIF($C$2:$C$500,C156)&gt;1,"DUPLICATE","OK"))</f>
        <v/>
      </c>
    </row>
    <row r="157" customFormat="false" ht="15" hidden="false" customHeight="false" outlineLevel="0" collapsed="false">
      <c r="I157" s="7"/>
      <c r="J157" s="7"/>
      <c r="M157" s="8"/>
      <c r="N157" s="0" t="str">
        <f aca="false">IF(C157="","",IF(AND(ISNUMBER(FIND("@",C157)),ISNUMBER(FIND(".",C157,FIND("@",C157))),ISERROR(FIND(" ",C157))),"OK","INVALID"))</f>
        <v/>
      </c>
      <c r="O157" s="0" t="str">
        <f aca="false">IF(C157="","",IF(COUNTIF($C$2:$C$500,C157)&gt;1,"DUPLICATE","OK"))</f>
        <v/>
      </c>
    </row>
    <row r="158" customFormat="false" ht="15" hidden="false" customHeight="false" outlineLevel="0" collapsed="false">
      <c r="I158" s="7"/>
      <c r="J158" s="7"/>
      <c r="M158" s="8"/>
      <c r="N158" s="0" t="str">
        <f aca="false">IF(C158="","",IF(AND(ISNUMBER(FIND("@",C158)),ISNUMBER(FIND(".",C158,FIND("@",C158))),ISERROR(FIND(" ",C158))),"OK","INVALID"))</f>
        <v/>
      </c>
      <c r="O158" s="0" t="str">
        <f aca="false">IF(C158="","",IF(COUNTIF($C$2:$C$500,C158)&gt;1,"DUPLICATE","OK"))</f>
        <v/>
      </c>
    </row>
    <row r="159" customFormat="false" ht="15" hidden="false" customHeight="false" outlineLevel="0" collapsed="false">
      <c r="I159" s="7"/>
      <c r="J159" s="7"/>
      <c r="M159" s="8"/>
      <c r="N159" s="0" t="str">
        <f aca="false">IF(C159="","",IF(AND(ISNUMBER(FIND("@",C159)),ISNUMBER(FIND(".",C159,FIND("@",C159))),ISERROR(FIND(" ",C159))),"OK","INVALID"))</f>
        <v/>
      </c>
      <c r="O159" s="0" t="str">
        <f aca="false">IF(C159="","",IF(COUNTIF($C$2:$C$500,C159)&gt;1,"DUPLICATE","OK"))</f>
        <v/>
      </c>
    </row>
    <row r="160" customFormat="false" ht="15" hidden="false" customHeight="false" outlineLevel="0" collapsed="false">
      <c r="I160" s="7"/>
      <c r="J160" s="7"/>
      <c r="M160" s="8"/>
      <c r="N160" s="0" t="str">
        <f aca="false">IF(C160="","",IF(AND(ISNUMBER(FIND("@",C160)),ISNUMBER(FIND(".",C160,FIND("@",C160))),ISERROR(FIND(" ",C160))),"OK","INVALID"))</f>
        <v/>
      </c>
      <c r="O160" s="0" t="str">
        <f aca="false">IF(C160="","",IF(COUNTIF($C$2:$C$500,C160)&gt;1,"DUPLICATE","OK"))</f>
        <v/>
      </c>
    </row>
    <row r="161" customFormat="false" ht="15" hidden="false" customHeight="false" outlineLevel="0" collapsed="false">
      <c r="I161" s="7"/>
      <c r="J161" s="7"/>
      <c r="M161" s="8"/>
      <c r="N161" s="0" t="str">
        <f aca="false">IF(C161="","",IF(AND(ISNUMBER(FIND("@",C161)),ISNUMBER(FIND(".",C161,FIND("@",C161))),ISERROR(FIND(" ",C161))),"OK","INVALID"))</f>
        <v/>
      </c>
      <c r="O161" s="0" t="str">
        <f aca="false">IF(C161="","",IF(COUNTIF($C$2:$C$500,C161)&gt;1,"DUPLICATE","OK"))</f>
        <v/>
      </c>
    </row>
    <row r="162" customFormat="false" ht="15" hidden="false" customHeight="false" outlineLevel="0" collapsed="false">
      <c r="I162" s="7"/>
      <c r="J162" s="7"/>
      <c r="M162" s="8"/>
      <c r="N162" s="0" t="str">
        <f aca="false">IF(C162="","",IF(AND(ISNUMBER(FIND("@",C162)),ISNUMBER(FIND(".",C162,FIND("@",C162))),ISERROR(FIND(" ",C162))),"OK","INVALID"))</f>
        <v/>
      </c>
      <c r="O162" s="0" t="str">
        <f aca="false">IF(C162="","",IF(COUNTIF($C$2:$C$500,C162)&gt;1,"DUPLICATE","OK"))</f>
        <v/>
      </c>
    </row>
    <row r="163" customFormat="false" ht="15" hidden="false" customHeight="false" outlineLevel="0" collapsed="false">
      <c r="I163" s="7"/>
      <c r="J163" s="7"/>
      <c r="M163" s="8"/>
      <c r="N163" s="0" t="str">
        <f aca="false">IF(C163="","",IF(AND(ISNUMBER(FIND("@",C163)),ISNUMBER(FIND(".",C163,FIND("@",C163))),ISERROR(FIND(" ",C163))),"OK","INVALID"))</f>
        <v/>
      </c>
      <c r="O163" s="0" t="str">
        <f aca="false">IF(C163="","",IF(COUNTIF($C$2:$C$500,C163)&gt;1,"DUPLICATE","OK"))</f>
        <v/>
      </c>
    </row>
    <row r="164" customFormat="false" ht="15" hidden="false" customHeight="false" outlineLevel="0" collapsed="false">
      <c r="I164" s="7"/>
      <c r="J164" s="7"/>
      <c r="M164" s="8"/>
      <c r="N164" s="0" t="str">
        <f aca="false">IF(C164="","",IF(AND(ISNUMBER(FIND("@",C164)),ISNUMBER(FIND(".",C164,FIND("@",C164))),ISERROR(FIND(" ",C164))),"OK","INVALID"))</f>
        <v/>
      </c>
      <c r="O164" s="0" t="str">
        <f aca="false">IF(C164="","",IF(COUNTIF($C$2:$C$500,C164)&gt;1,"DUPLICATE","OK"))</f>
        <v/>
      </c>
    </row>
    <row r="165" customFormat="false" ht="15" hidden="false" customHeight="false" outlineLevel="0" collapsed="false">
      <c r="I165" s="7"/>
      <c r="J165" s="7"/>
      <c r="M165" s="8"/>
      <c r="N165" s="0" t="str">
        <f aca="false">IF(C165="","",IF(AND(ISNUMBER(FIND("@",C165)),ISNUMBER(FIND(".",C165,FIND("@",C165))),ISERROR(FIND(" ",C165))),"OK","INVALID"))</f>
        <v/>
      </c>
      <c r="O165" s="0" t="str">
        <f aca="false">IF(C165="","",IF(COUNTIF($C$2:$C$500,C165)&gt;1,"DUPLICATE","OK"))</f>
        <v/>
      </c>
    </row>
    <row r="166" customFormat="false" ht="15" hidden="false" customHeight="false" outlineLevel="0" collapsed="false">
      <c r="I166" s="7"/>
      <c r="J166" s="7"/>
      <c r="M166" s="8"/>
      <c r="N166" s="0" t="str">
        <f aca="false">IF(C166="","",IF(AND(ISNUMBER(FIND("@",C166)),ISNUMBER(FIND(".",C166,FIND("@",C166))),ISERROR(FIND(" ",C166))),"OK","INVALID"))</f>
        <v/>
      </c>
      <c r="O166" s="0" t="str">
        <f aca="false">IF(C166="","",IF(COUNTIF($C$2:$C$500,C166)&gt;1,"DUPLICATE","OK"))</f>
        <v/>
      </c>
    </row>
    <row r="167" customFormat="false" ht="15" hidden="false" customHeight="false" outlineLevel="0" collapsed="false">
      <c r="I167" s="7"/>
      <c r="J167" s="7"/>
      <c r="M167" s="8"/>
      <c r="N167" s="0" t="str">
        <f aca="false">IF(C167="","",IF(AND(ISNUMBER(FIND("@",C167)),ISNUMBER(FIND(".",C167,FIND("@",C167))),ISERROR(FIND(" ",C167))),"OK","INVALID"))</f>
        <v/>
      </c>
      <c r="O167" s="0" t="str">
        <f aca="false">IF(C167="","",IF(COUNTIF($C$2:$C$500,C167)&gt;1,"DUPLICATE","OK"))</f>
        <v/>
      </c>
    </row>
    <row r="168" customFormat="false" ht="15" hidden="false" customHeight="false" outlineLevel="0" collapsed="false">
      <c r="I168" s="7"/>
      <c r="J168" s="7"/>
      <c r="M168" s="8"/>
      <c r="N168" s="0" t="str">
        <f aca="false">IF(C168="","",IF(AND(ISNUMBER(FIND("@",C168)),ISNUMBER(FIND(".",C168,FIND("@",C168))),ISERROR(FIND(" ",C168))),"OK","INVALID"))</f>
        <v/>
      </c>
      <c r="O168" s="0" t="str">
        <f aca="false">IF(C168="","",IF(COUNTIF($C$2:$C$500,C168)&gt;1,"DUPLICATE","OK"))</f>
        <v/>
      </c>
    </row>
    <row r="169" customFormat="false" ht="15" hidden="false" customHeight="false" outlineLevel="0" collapsed="false">
      <c r="I169" s="7"/>
      <c r="J169" s="7"/>
      <c r="M169" s="8"/>
      <c r="N169" s="0" t="str">
        <f aca="false">IF(C169="","",IF(AND(ISNUMBER(FIND("@",C169)),ISNUMBER(FIND(".",C169,FIND("@",C169))),ISERROR(FIND(" ",C169))),"OK","INVALID"))</f>
        <v/>
      </c>
      <c r="O169" s="0" t="str">
        <f aca="false">IF(C169="","",IF(COUNTIF($C$2:$C$500,C169)&gt;1,"DUPLICATE","OK"))</f>
        <v/>
      </c>
    </row>
    <row r="170" customFormat="false" ht="15" hidden="false" customHeight="false" outlineLevel="0" collapsed="false">
      <c r="I170" s="7"/>
      <c r="J170" s="7"/>
      <c r="M170" s="8"/>
      <c r="N170" s="0" t="str">
        <f aca="false">IF(C170="","",IF(AND(ISNUMBER(FIND("@",C170)),ISNUMBER(FIND(".",C170,FIND("@",C170))),ISERROR(FIND(" ",C170))),"OK","INVALID"))</f>
        <v/>
      </c>
      <c r="O170" s="0" t="str">
        <f aca="false">IF(C170="","",IF(COUNTIF($C$2:$C$500,C170)&gt;1,"DUPLICATE","OK"))</f>
        <v/>
      </c>
    </row>
    <row r="171" customFormat="false" ht="15" hidden="false" customHeight="false" outlineLevel="0" collapsed="false">
      <c r="I171" s="7"/>
      <c r="J171" s="7"/>
      <c r="M171" s="8"/>
      <c r="N171" s="0" t="str">
        <f aca="false">IF(C171="","",IF(AND(ISNUMBER(FIND("@",C171)),ISNUMBER(FIND(".",C171,FIND("@",C171))),ISERROR(FIND(" ",C171))),"OK","INVALID"))</f>
        <v/>
      </c>
      <c r="O171" s="0" t="str">
        <f aca="false">IF(C171="","",IF(COUNTIF($C$2:$C$500,C171)&gt;1,"DUPLICATE","OK"))</f>
        <v/>
      </c>
    </row>
    <row r="172" customFormat="false" ht="15" hidden="false" customHeight="false" outlineLevel="0" collapsed="false">
      <c r="I172" s="7"/>
      <c r="J172" s="7"/>
      <c r="M172" s="8"/>
      <c r="N172" s="0" t="str">
        <f aca="false">IF(C172="","",IF(AND(ISNUMBER(FIND("@",C172)),ISNUMBER(FIND(".",C172,FIND("@",C172))),ISERROR(FIND(" ",C172))),"OK","INVALID"))</f>
        <v/>
      </c>
      <c r="O172" s="0" t="str">
        <f aca="false">IF(C172="","",IF(COUNTIF($C$2:$C$500,C172)&gt;1,"DUPLICATE","OK"))</f>
        <v/>
      </c>
    </row>
    <row r="173" customFormat="false" ht="15" hidden="false" customHeight="false" outlineLevel="0" collapsed="false">
      <c r="I173" s="7"/>
      <c r="J173" s="7"/>
      <c r="M173" s="8"/>
      <c r="N173" s="0" t="str">
        <f aca="false">IF(C173="","",IF(AND(ISNUMBER(FIND("@",C173)),ISNUMBER(FIND(".",C173,FIND("@",C173))),ISERROR(FIND(" ",C173))),"OK","INVALID"))</f>
        <v/>
      </c>
      <c r="O173" s="0" t="str">
        <f aca="false">IF(C173="","",IF(COUNTIF($C$2:$C$500,C173)&gt;1,"DUPLICATE","OK"))</f>
        <v/>
      </c>
    </row>
    <row r="174" customFormat="false" ht="15" hidden="false" customHeight="false" outlineLevel="0" collapsed="false">
      <c r="I174" s="7"/>
      <c r="J174" s="7"/>
      <c r="M174" s="8"/>
      <c r="N174" s="0" t="str">
        <f aca="false">IF(C174="","",IF(AND(ISNUMBER(FIND("@",C174)),ISNUMBER(FIND(".",C174,FIND("@",C174))),ISERROR(FIND(" ",C174))),"OK","INVALID"))</f>
        <v/>
      </c>
      <c r="O174" s="0" t="str">
        <f aca="false">IF(C174="","",IF(COUNTIF($C$2:$C$500,C174)&gt;1,"DUPLICATE","OK"))</f>
        <v/>
      </c>
    </row>
    <row r="175" customFormat="false" ht="15" hidden="false" customHeight="false" outlineLevel="0" collapsed="false">
      <c r="I175" s="7"/>
      <c r="J175" s="7"/>
      <c r="M175" s="8"/>
      <c r="N175" s="0" t="str">
        <f aca="false">IF(C175="","",IF(AND(ISNUMBER(FIND("@",C175)),ISNUMBER(FIND(".",C175,FIND("@",C175))),ISERROR(FIND(" ",C175))),"OK","INVALID"))</f>
        <v/>
      </c>
      <c r="O175" s="0" t="str">
        <f aca="false">IF(C175="","",IF(COUNTIF($C$2:$C$500,C175)&gt;1,"DUPLICATE","OK"))</f>
        <v/>
      </c>
    </row>
    <row r="176" customFormat="false" ht="15" hidden="false" customHeight="false" outlineLevel="0" collapsed="false">
      <c r="I176" s="7"/>
      <c r="J176" s="7"/>
      <c r="M176" s="8"/>
      <c r="N176" s="0" t="str">
        <f aca="false">IF(C176="","",IF(AND(ISNUMBER(FIND("@",C176)),ISNUMBER(FIND(".",C176,FIND("@",C176))),ISERROR(FIND(" ",C176))),"OK","INVALID"))</f>
        <v/>
      </c>
      <c r="O176" s="0" t="str">
        <f aca="false">IF(C176="","",IF(COUNTIF($C$2:$C$500,C176)&gt;1,"DUPLICATE","OK"))</f>
        <v/>
      </c>
    </row>
    <row r="177" customFormat="false" ht="15" hidden="false" customHeight="false" outlineLevel="0" collapsed="false">
      <c r="I177" s="7"/>
      <c r="J177" s="7"/>
      <c r="M177" s="8"/>
      <c r="N177" s="0" t="str">
        <f aca="false">IF(C177="","",IF(AND(ISNUMBER(FIND("@",C177)),ISNUMBER(FIND(".",C177,FIND("@",C177))),ISERROR(FIND(" ",C177))),"OK","INVALID"))</f>
        <v/>
      </c>
      <c r="O177" s="0" t="str">
        <f aca="false">IF(C177="","",IF(COUNTIF($C$2:$C$500,C177)&gt;1,"DUPLICATE","OK"))</f>
        <v/>
      </c>
    </row>
    <row r="178" customFormat="false" ht="15" hidden="false" customHeight="false" outlineLevel="0" collapsed="false">
      <c r="I178" s="7"/>
      <c r="J178" s="7"/>
      <c r="M178" s="8"/>
      <c r="N178" s="0" t="str">
        <f aca="false">IF(C178="","",IF(AND(ISNUMBER(FIND("@",C178)),ISNUMBER(FIND(".",C178,FIND("@",C178))),ISERROR(FIND(" ",C178))),"OK","INVALID"))</f>
        <v/>
      </c>
      <c r="O178" s="0" t="str">
        <f aca="false">IF(C178="","",IF(COUNTIF($C$2:$C$500,C178)&gt;1,"DUPLICATE","OK"))</f>
        <v/>
      </c>
    </row>
    <row r="179" customFormat="false" ht="15" hidden="false" customHeight="false" outlineLevel="0" collapsed="false">
      <c r="I179" s="7"/>
      <c r="J179" s="7"/>
      <c r="M179" s="8"/>
      <c r="N179" s="0" t="str">
        <f aca="false">IF(C179="","",IF(AND(ISNUMBER(FIND("@",C179)),ISNUMBER(FIND(".",C179,FIND("@",C179))),ISERROR(FIND(" ",C179))),"OK","INVALID"))</f>
        <v/>
      </c>
      <c r="O179" s="0" t="str">
        <f aca="false">IF(C179="","",IF(COUNTIF($C$2:$C$500,C179)&gt;1,"DUPLICATE","OK"))</f>
        <v/>
      </c>
    </row>
    <row r="180" customFormat="false" ht="15" hidden="false" customHeight="false" outlineLevel="0" collapsed="false">
      <c r="I180" s="7"/>
      <c r="J180" s="7"/>
      <c r="M180" s="8"/>
      <c r="N180" s="0" t="str">
        <f aca="false">IF(C180="","",IF(AND(ISNUMBER(FIND("@",C180)),ISNUMBER(FIND(".",C180,FIND("@",C180))),ISERROR(FIND(" ",C180))),"OK","INVALID"))</f>
        <v/>
      </c>
      <c r="O180" s="0" t="str">
        <f aca="false">IF(C180="","",IF(COUNTIF($C$2:$C$500,C180)&gt;1,"DUPLICATE","OK"))</f>
        <v/>
      </c>
    </row>
    <row r="181" customFormat="false" ht="15" hidden="false" customHeight="false" outlineLevel="0" collapsed="false">
      <c r="I181" s="7"/>
      <c r="J181" s="7"/>
      <c r="M181" s="8"/>
      <c r="N181" s="0" t="str">
        <f aca="false">IF(C181="","",IF(AND(ISNUMBER(FIND("@",C181)),ISNUMBER(FIND(".",C181,FIND("@",C181))),ISERROR(FIND(" ",C181))),"OK","INVALID"))</f>
        <v/>
      </c>
      <c r="O181" s="0" t="str">
        <f aca="false">IF(C181="","",IF(COUNTIF($C$2:$C$500,C181)&gt;1,"DUPLICATE","OK"))</f>
        <v/>
      </c>
    </row>
    <row r="182" customFormat="false" ht="15" hidden="false" customHeight="false" outlineLevel="0" collapsed="false">
      <c r="I182" s="7"/>
      <c r="J182" s="7"/>
      <c r="M182" s="8"/>
      <c r="N182" s="0" t="str">
        <f aca="false">IF(C182="","",IF(AND(ISNUMBER(FIND("@",C182)),ISNUMBER(FIND(".",C182,FIND("@",C182))),ISERROR(FIND(" ",C182))),"OK","INVALID"))</f>
        <v/>
      </c>
      <c r="O182" s="0" t="str">
        <f aca="false">IF(C182="","",IF(COUNTIF($C$2:$C$500,C182)&gt;1,"DUPLICATE","OK"))</f>
        <v/>
      </c>
    </row>
    <row r="183" customFormat="false" ht="15" hidden="false" customHeight="false" outlineLevel="0" collapsed="false">
      <c r="I183" s="7"/>
      <c r="J183" s="7"/>
      <c r="M183" s="8"/>
      <c r="N183" s="0" t="str">
        <f aca="false">IF(C183="","",IF(AND(ISNUMBER(FIND("@",C183)),ISNUMBER(FIND(".",C183,FIND("@",C183))),ISERROR(FIND(" ",C183))),"OK","INVALID"))</f>
        <v/>
      </c>
      <c r="O183" s="0" t="str">
        <f aca="false">IF(C183="","",IF(COUNTIF($C$2:$C$500,C183)&gt;1,"DUPLICATE","OK"))</f>
        <v/>
      </c>
    </row>
    <row r="184" customFormat="false" ht="15" hidden="false" customHeight="false" outlineLevel="0" collapsed="false">
      <c r="I184" s="7"/>
      <c r="J184" s="7"/>
      <c r="M184" s="8"/>
      <c r="N184" s="0" t="str">
        <f aca="false">IF(C184="","",IF(AND(ISNUMBER(FIND("@",C184)),ISNUMBER(FIND(".",C184,FIND("@",C184))),ISERROR(FIND(" ",C184))),"OK","INVALID"))</f>
        <v/>
      </c>
      <c r="O184" s="0" t="str">
        <f aca="false">IF(C184="","",IF(COUNTIF($C$2:$C$500,C184)&gt;1,"DUPLICATE","OK"))</f>
        <v/>
      </c>
    </row>
    <row r="185" customFormat="false" ht="15" hidden="false" customHeight="false" outlineLevel="0" collapsed="false">
      <c r="I185" s="7"/>
      <c r="J185" s="7"/>
      <c r="M185" s="8"/>
      <c r="N185" s="0" t="str">
        <f aca="false">IF(C185="","",IF(AND(ISNUMBER(FIND("@",C185)),ISNUMBER(FIND(".",C185,FIND("@",C185))),ISERROR(FIND(" ",C185))),"OK","INVALID"))</f>
        <v/>
      </c>
      <c r="O185" s="0" t="str">
        <f aca="false">IF(C185="","",IF(COUNTIF($C$2:$C$500,C185)&gt;1,"DUPLICATE","OK"))</f>
        <v/>
      </c>
    </row>
    <row r="186" customFormat="false" ht="15" hidden="false" customHeight="false" outlineLevel="0" collapsed="false">
      <c r="I186" s="7"/>
      <c r="J186" s="7"/>
      <c r="M186" s="8"/>
      <c r="N186" s="0" t="str">
        <f aca="false">IF(C186="","",IF(AND(ISNUMBER(FIND("@",C186)),ISNUMBER(FIND(".",C186,FIND("@",C186))),ISERROR(FIND(" ",C186))),"OK","INVALID"))</f>
        <v/>
      </c>
      <c r="O186" s="0" t="str">
        <f aca="false">IF(C186="","",IF(COUNTIF($C$2:$C$500,C186)&gt;1,"DUPLICATE","OK"))</f>
        <v/>
      </c>
    </row>
    <row r="187" customFormat="false" ht="15" hidden="false" customHeight="false" outlineLevel="0" collapsed="false">
      <c r="I187" s="7"/>
      <c r="J187" s="7"/>
      <c r="M187" s="8"/>
      <c r="N187" s="0" t="str">
        <f aca="false">IF(C187="","",IF(AND(ISNUMBER(FIND("@",C187)),ISNUMBER(FIND(".",C187,FIND("@",C187))),ISERROR(FIND(" ",C187))),"OK","INVALID"))</f>
        <v/>
      </c>
      <c r="O187" s="0" t="str">
        <f aca="false">IF(C187="","",IF(COUNTIF($C$2:$C$500,C187)&gt;1,"DUPLICATE","OK"))</f>
        <v/>
      </c>
    </row>
    <row r="188" customFormat="false" ht="15" hidden="false" customHeight="false" outlineLevel="0" collapsed="false">
      <c r="I188" s="7"/>
      <c r="J188" s="7"/>
      <c r="M188" s="8"/>
      <c r="N188" s="0" t="str">
        <f aca="false">IF(C188="","",IF(AND(ISNUMBER(FIND("@",C188)),ISNUMBER(FIND(".",C188,FIND("@",C188))),ISERROR(FIND(" ",C188))),"OK","INVALID"))</f>
        <v/>
      </c>
      <c r="O188" s="0" t="str">
        <f aca="false">IF(C188="","",IF(COUNTIF($C$2:$C$500,C188)&gt;1,"DUPLICATE","OK"))</f>
        <v/>
      </c>
    </row>
    <row r="189" customFormat="false" ht="15" hidden="false" customHeight="false" outlineLevel="0" collapsed="false">
      <c r="I189" s="7"/>
      <c r="J189" s="7"/>
      <c r="M189" s="8"/>
      <c r="N189" s="0" t="str">
        <f aca="false">IF(C189="","",IF(AND(ISNUMBER(FIND("@",C189)),ISNUMBER(FIND(".",C189,FIND("@",C189))),ISERROR(FIND(" ",C189))),"OK","INVALID"))</f>
        <v/>
      </c>
      <c r="O189" s="0" t="str">
        <f aca="false">IF(C189="","",IF(COUNTIF($C$2:$C$500,C189)&gt;1,"DUPLICATE","OK"))</f>
        <v/>
      </c>
    </row>
    <row r="190" customFormat="false" ht="15" hidden="false" customHeight="false" outlineLevel="0" collapsed="false">
      <c r="I190" s="7"/>
      <c r="J190" s="7"/>
      <c r="M190" s="8"/>
      <c r="N190" s="0" t="str">
        <f aca="false">IF(C190="","",IF(AND(ISNUMBER(FIND("@",C190)),ISNUMBER(FIND(".",C190,FIND("@",C190))),ISERROR(FIND(" ",C190))),"OK","INVALID"))</f>
        <v/>
      </c>
      <c r="O190" s="0" t="str">
        <f aca="false">IF(C190="","",IF(COUNTIF($C$2:$C$500,C190)&gt;1,"DUPLICATE","OK"))</f>
        <v/>
      </c>
    </row>
    <row r="191" customFormat="false" ht="15" hidden="false" customHeight="false" outlineLevel="0" collapsed="false">
      <c r="I191" s="7"/>
      <c r="J191" s="7"/>
      <c r="M191" s="8"/>
      <c r="N191" s="0" t="str">
        <f aca="false">IF(C191="","",IF(AND(ISNUMBER(FIND("@",C191)),ISNUMBER(FIND(".",C191,FIND("@",C191))),ISERROR(FIND(" ",C191))),"OK","INVALID"))</f>
        <v/>
      </c>
      <c r="O191" s="0" t="str">
        <f aca="false">IF(C191="","",IF(COUNTIF($C$2:$C$500,C191)&gt;1,"DUPLICATE","OK"))</f>
        <v/>
      </c>
    </row>
    <row r="192" customFormat="false" ht="15" hidden="false" customHeight="false" outlineLevel="0" collapsed="false">
      <c r="I192" s="7"/>
      <c r="J192" s="7"/>
      <c r="M192" s="8"/>
      <c r="N192" s="0" t="str">
        <f aca="false">IF(C192="","",IF(AND(ISNUMBER(FIND("@",C192)),ISNUMBER(FIND(".",C192,FIND("@",C192))),ISERROR(FIND(" ",C192))),"OK","INVALID"))</f>
        <v/>
      </c>
      <c r="O192" s="0" t="str">
        <f aca="false">IF(C192="","",IF(COUNTIF($C$2:$C$500,C192)&gt;1,"DUPLICATE","OK"))</f>
        <v/>
      </c>
    </row>
    <row r="193" customFormat="false" ht="15" hidden="false" customHeight="false" outlineLevel="0" collapsed="false">
      <c r="I193" s="7"/>
      <c r="J193" s="7"/>
      <c r="M193" s="8"/>
      <c r="N193" s="0" t="str">
        <f aca="false">IF(C193="","",IF(AND(ISNUMBER(FIND("@",C193)),ISNUMBER(FIND(".",C193,FIND("@",C193))),ISERROR(FIND(" ",C193))),"OK","INVALID"))</f>
        <v/>
      </c>
      <c r="O193" s="0" t="str">
        <f aca="false">IF(C193="","",IF(COUNTIF($C$2:$C$500,C193)&gt;1,"DUPLICATE","OK"))</f>
        <v/>
      </c>
    </row>
    <row r="194" customFormat="false" ht="15" hidden="false" customHeight="false" outlineLevel="0" collapsed="false">
      <c r="I194" s="7"/>
      <c r="J194" s="7"/>
      <c r="M194" s="8"/>
      <c r="N194" s="0" t="str">
        <f aca="false">IF(C194="","",IF(AND(ISNUMBER(FIND("@",C194)),ISNUMBER(FIND(".",C194,FIND("@",C194))),ISERROR(FIND(" ",C194))),"OK","INVALID"))</f>
        <v/>
      </c>
      <c r="O194" s="0" t="str">
        <f aca="false">IF(C194="","",IF(COUNTIF($C$2:$C$500,C194)&gt;1,"DUPLICATE","OK"))</f>
        <v/>
      </c>
    </row>
    <row r="195" customFormat="false" ht="15" hidden="false" customHeight="false" outlineLevel="0" collapsed="false">
      <c r="I195" s="7"/>
      <c r="J195" s="7"/>
      <c r="M195" s="8"/>
      <c r="N195" s="0" t="str">
        <f aca="false">IF(C195="","",IF(AND(ISNUMBER(FIND("@",C195)),ISNUMBER(FIND(".",C195,FIND("@",C195))),ISERROR(FIND(" ",C195))),"OK","INVALID"))</f>
        <v/>
      </c>
      <c r="O195" s="0" t="str">
        <f aca="false">IF(C195="","",IF(COUNTIF($C$2:$C$500,C195)&gt;1,"DUPLICATE","OK"))</f>
        <v/>
      </c>
    </row>
    <row r="196" customFormat="false" ht="15" hidden="false" customHeight="false" outlineLevel="0" collapsed="false">
      <c r="I196" s="7"/>
      <c r="J196" s="7"/>
      <c r="M196" s="8"/>
      <c r="N196" s="0" t="str">
        <f aca="false">IF(C196="","",IF(AND(ISNUMBER(FIND("@",C196)),ISNUMBER(FIND(".",C196,FIND("@",C196))),ISERROR(FIND(" ",C196))),"OK","INVALID"))</f>
        <v/>
      </c>
      <c r="O196" s="0" t="str">
        <f aca="false">IF(C196="","",IF(COUNTIF($C$2:$C$500,C196)&gt;1,"DUPLICATE","OK"))</f>
        <v/>
      </c>
    </row>
    <row r="197" customFormat="false" ht="15" hidden="false" customHeight="false" outlineLevel="0" collapsed="false">
      <c r="I197" s="7"/>
      <c r="J197" s="7"/>
      <c r="M197" s="8"/>
      <c r="N197" s="0" t="str">
        <f aca="false">IF(C197="","",IF(AND(ISNUMBER(FIND("@",C197)),ISNUMBER(FIND(".",C197,FIND("@",C197))),ISERROR(FIND(" ",C197))),"OK","INVALID"))</f>
        <v/>
      </c>
      <c r="O197" s="0" t="str">
        <f aca="false">IF(C197="","",IF(COUNTIF($C$2:$C$500,C197)&gt;1,"DUPLICATE","OK"))</f>
        <v/>
      </c>
    </row>
    <row r="198" customFormat="false" ht="15" hidden="false" customHeight="false" outlineLevel="0" collapsed="false">
      <c r="I198" s="7"/>
      <c r="J198" s="7"/>
      <c r="M198" s="8"/>
      <c r="N198" s="0" t="str">
        <f aca="false">IF(C198="","",IF(AND(ISNUMBER(FIND("@",C198)),ISNUMBER(FIND(".",C198,FIND("@",C198))),ISERROR(FIND(" ",C198))),"OK","INVALID"))</f>
        <v/>
      </c>
      <c r="O198" s="0" t="str">
        <f aca="false">IF(C198="","",IF(COUNTIF($C$2:$C$500,C198)&gt;1,"DUPLICATE","OK"))</f>
        <v/>
      </c>
    </row>
    <row r="199" customFormat="false" ht="15" hidden="false" customHeight="false" outlineLevel="0" collapsed="false">
      <c r="I199" s="7"/>
      <c r="J199" s="7"/>
      <c r="M199" s="8"/>
      <c r="N199" s="0" t="str">
        <f aca="false">IF(C199="","",IF(AND(ISNUMBER(FIND("@",C199)),ISNUMBER(FIND(".",C199,FIND("@",C199))),ISERROR(FIND(" ",C199))),"OK","INVALID"))</f>
        <v/>
      </c>
      <c r="O199" s="0" t="str">
        <f aca="false">IF(C199="","",IF(COUNTIF($C$2:$C$500,C199)&gt;1,"DUPLICATE","OK"))</f>
        <v/>
      </c>
    </row>
    <row r="200" customFormat="false" ht="15" hidden="false" customHeight="false" outlineLevel="0" collapsed="false">
      <c r="I200" s="7"/>
      <c r="J200" s="7"/>
      <c r="M200" s="8"/>
      <c r="N200" s="0" t="str">
        <f aca="false">IF(C200="","",IF(AND(ISNUMBER(FIND("@",C200)),ISNUMBER(FIND(".",C200,FIND("@",C200))),ISERROR(FIND(" ",C200))),"OK","INVALID"))</f>
        <v/>
      </c>
      <c r="O200" s="0" t="str">
        <f aca="false">IF(C200="","",IF(COUNTIF($C$2:$C$500,C200)&gt;1,"DUPLICATE","OK"))</f>
        <v/>
      </c>
    </row>
    <row r="201" customFormat="false" ht="15" hidden="false" customHeight="false" outlineLevel="0" collapsed="false">
      <c r="I201" s="7"/>
      <c r="J201" s="7"/>
      <c r="M201" s="8"/>
      <c r="N201" s="0" t="str">
        <f aca="false">IF(C201="","",IF(AND(ISNUMBER(FIND("@",C201)),ISNUMBER(FIND(".",C201,FIND("@",C201))),ISERROR(FIND(" ",C201))),"OK","INVALID"))</f>
        <v/>
      </c>
      <c r="O201" s="0" t="str">
        <f aca="false">IF(C201="","",IF(COUNTIF($C$2:$C$500,C201)&gt;1,"DUPLICATE","OK"))</f>
        <v/>
      </c>
    </row>
    <row r="202" customFormat="false" ht="15" hidden="false" customHeight="false" outlineLevel="0" collapsed="false">
      <c r="I202" s="7"/>
      <c r="J202" s="7"/>
      <c r="M202" s="8"/>
      <c r="N202" s="0" t="str">
        <f aca="false">IF(C202="","",IF(AND(ISNUMBER(FIND("@",C202)),ISNUMBER(FIND(".",C202,FIND("@",C202))),ISERROR(FIND(" ",C202))),"OK","INVALID"))</f>
        <v/>
      </c>
      <c r="O202" s="0" t="str">
        <f aca="false">IF(C202="","",IF(COUNTIF($C$2:$C$500,C202)&gt;1,"DUPLICATE","OK"))</f>
        <v/>
      </c>
    </row>
    <row r="203" customFormat="false" ht="15" hidden="false" customHeight="false" outlineLevel="0" collapsed="false">
      <c r="I203" s="7"/>
      <c r="J203" s="7"/>
      <c r="M203" s="8"/>
      <c r="N203" s="0" t="str">
        <f aca="false">IF(C203="","",IF(AND(ISNUMBER(FIND("@",C203)),ISNUMBER(FIND(".",C203,FIND("@",C203))),ISERROR(FIND(" ",C203))),"OK","INVALID"))</f>
        <v/>
      </c>
      <c r="O203" s="0" t="str">
        <f aca="false">IF(C203="","",IF(COUNTIF($C$2:$C$500,C203)&gt;1,"DUPLICATE","OK"))</f>
        <v/>
      </c>
    </row>
    <row r="204" customFormat="false" ht="15" hidden="false" customHeight="false" outlineLevel="0" collapsed="false">
      <c r="I204" s="7"/>
      <c r="J204" s="7"/>
      <c r="M204" s="8"/>
      <c r="N204" s="0" t="str">
        <f aca="false">IF(C204="","",IF(AND(ISNUMBER(FIND("@",C204)),ISNUMBER(FIND(".",C204,FIND("@",C204))),ISERROR(FIND(" ",C204))),"OK","INVALID"))</f>
        <v/>
      </c>
      <c r="O204" s="0" t="str">
        <f aca="false">IF(C204="","",IF(COUNTIF($C$2:$C$500,C204)&gt;1,"DUPLICATE","OK"))</f>
        <v/>
      </c>
    </row>
    <row r="205" customFormat="false" ht="15" hidden="false" customHeight="false" outlineLevel="0" collapsed="false">
      <c r="I205" s="7"/>
      <c r="J205" s="7"/>
      <c r="M205" s="8"/>
      <c r="N205" s="0" t="str">
        <f aca="false">IF(C205="","",IF(AND(ISNUMBER(FIND("@",C205)),ISNUMBER(FIND(".",C205,FIND("@",C205))),ISERROR(FIND(" ",C205))),"OK","INVALID"))</f>
        <v/>
      </c>
      <c r="O205" s="0" t="str">
        <f aca="false">IF(C205="","",IF(COUNTIF($C$2:$C$500,C205)&gt;1,"DUPLICATE","OK"))</f>
        <v/>
      </c>
    </row>
    <row r="206" customFormat="false" ht="15" hidden="false" customHeight="false" outlineLevel="0" collapsed="false">
      <c r="I206" s="7"/>
      <c r="J206" s="7"/>
      <c r="M206" s="8"/>
      <c r="N206" s="0" t="str">
        <f aca="false">IF(C206="","",IF(AND(ISNUMBER(FIND("@",C206)),ISNUMBER(FIND(".",C206,FIND("@",C206))),ISERROR(FIND(" ",C206))),"OK","INVALID"))</f>
        <v/>
      </c>
      <c r="O206" s="0" t="str">
        <f aca="false">IF(C206="","",IF(COUNTIF($C$2:$C$500,C206)&gt;1,"DUPLICATE","OK"))</f>
        <v/>
      </c>
    </row>
    <row r="207" customFormat="false" ht="15" hidden="false" customHeight="false" outlineLevel="0" collapsed="false">
      <c r="I207" s="7"/>
      <c r="J207" s="7"/>
      <c r="M207" s="8"/>
      <c r="N207" s="0" t="str">
        <f aca="false">IF(C207="","",IF(AND(ISNUMBER(FIND("@",C207)),ISNUMBER(FIND(".",C207,FIND("@",C207))),ISERROR(FIND(" ",C207))),"OK","INVALID"))</f>
        <v/>
      </c>
      <c r="O207" s="0" t="str">
        <f aca="false">IF(C207="","",IF(COUNTIF($C$2:$C$500,C207)&gt;1,"DUPLICATE","OK"))</f>
        <v/>
      </c>
    </row>
    <row r="208" customFormat="false" ht="15" hidden="false" customHeight="false" outlineLevel="0" collapsed="false">
      <c r="I208" s="7"/>
      <c r="J208" s="7"/>
      <c r="M208" s="8"/>
      <c r="N208" s="0" t="str">
        <f aca="false">IF(C208="","",IF(AND(ISNUMBER(FIND("@",C208)),ISNUMBER(FIND(".",C208,FIND("@",C208))),ISERROR(FIND(" ",C208))),"OK","INVALID"))</f>
        <v/>
      </c>
      <c r="O208" s="0" t="str">
        <f aca="false">IF(C208="","",IF(COUNTIF($C$2:$C$500,C208)&gt;1,"DUPLICATE","OK"))</f>
        <v/>
      </c>
    </row>
    <row r="209" customFormat="false" ht="15" hidden="false" customHeight="false" outlineLevel="0" collapsed="false">
      <c r="I209" s="7"/>
      <c r="J209" s="7"/>
      <c r="M209" s="8"/>
      <c r="N209" s="0" t="str">
        <f aca="false">IF(C209="","",IF(AND(ISNUMBER(FIND("@",C209)),ISNUMBER(FIND(".",C209,FIND("@",C209))),ISERROR(FIND(" ",C209))),"OK","INVALID"))</f>
        <v/>
      </c>
      <c r="O209" s="0" t="str">
        <f aca="false">IF(C209="","",IF(COUNTIF($C$2:$C$500,C209)&gt;1,"DUPLICATE","OK"))</f>
        <v/>
      </c>
    </row>
    <row r="210" customFormat="false" ht="15" hidden="false" customHeight="false" outlineLevel="0" collapsed="false">
      <c r="I210" s="7"/>
      <c r="J210" s="7"/>
      <c r="M210" s="8"/>
      <c r="N210" s="0" t="str">
        <f aca="false">IF(C210="","",IF(AND(ISNUMBER(FIND("@",C210)),ISNUMBER(FIND(".",C210,FIND("@",C210))),ISERROR(FIND(" ",C210))),"OK","INVALID"))</f>
        <v/>
      </c>
      <c r="O210" s="0" t="str">
        <f aca="false">IF(C210="","",IF(COUNTIF($C$2:$C$500,C210)&gt;1,"DUPLICATE","OK"))</f>
        <v/>
      </c>
    </row>
    <row r="211" customFormat="false" ht="15" hidden="false" customHeight="false" outlineLevel="0" collapsed="false">
      <c r="I211" s="7"/>
      <c r="J211" s="7"/>
      <c r="M211" s="8"/>
      <c r="N211" s="0" t="str">
        <f aca="false">IF(C211="","",IF(AND(ISNUMBER(FIND("@",C211)),ISNUMBER(FIND(".",C211,FIND("@",C211))),ISERROR(FIND(" ",C211))),"OK","INVALID"))</f>
        <v/>
      </c>
      <c r="O211" s="0" t="str">
        <f aca="false">IF(C211="","",IF(COUNTIF($C$2:$C$500,C211)&gt;1,"DUPLICATE","OK"))</f>
        <v/>
      </c>
    </row>
    <row r="212" customFormat="false" ht="15" hidden="false" customHeight="false" outlineLevel="0" collapsed="false">
      <c r="I212" s="7"/>
      <c r="J212" s="7"/>
      <c r="M212" s="8"/>
      <c r="N212" s="0" t="str">
        <f aca="false">IF(C212="","",IF(AND(ISNUMBER(FIND("@",C212)),ISNUMBER(FIND(".",C212,FIND("@",C212))),ISERROR(FIND(" ",C212))),"OK","INVALID"))</f>
        <v/>
      </c>
      <c r="O212" s="0" t="str">
        <f aca="false">IF(C212="","",IF(COUNTIF($C$2:$C$500,C212)&gt;1,"DUPLICATE","OK"))</f>
        <v/>
      </c>
    </row>
    <row r="213" customFormat="false" ht="15" hidden="false" customHeight="false" outlineLevel="0" collapsed="false">
      <c r="I213" s="7"/>
      <c r="J213" s="7"/>
      <c r="M213" s="8"/>
      <c r="N213" s="0" t="str">
        <f aca="false">IF(C213="","",IF(AND(ISNUMBER(FIND("@",C213)),ISNUMBER(FIND(".",C213,FIND("@",C213))),ISERROR(FIND(" ",C213))),"OK","INVALID"))</f>
        <v/>
      </c>
      <c r="O213" s="0" t="str">
        <f aca="false">IF(C213="","",IF(COUNTIF($C$2:$C$500,C213)&gt;1,"DUPLICATE","OK"))</f>
        <v/>
      </c>
    </row>
    <row r="214" customFormat="false" ht="15" hidden="false" customHeight="false" outlineLevel="0" collapsed="false">
      <c r="I214" s="7"/>
      <c r="J214" s="7"/>
      <c r="M214" s="8"/>
      <c r="N214" s="0" t="str">
        <f aca="false">IF(C214="","",IF(AND(ISNUMBER(FIND("@",C214)),ISNUMBER(FIND(".",C214,FIND("@",C214))),ISERROR(FIND(" ",C214))),"OK","INVALID"))</f>
        <v/>
      </c>
      <c r="O214" s="0" t="str">
        <f aca="false">IF(C214="","",IF(COUNTIF($C$2:$C$500,C214)&gt;1,"DUPLICATE","OK"))</f>
        <v/>
      </c>
    </row>
    <row r="215" customFormat="false" ht="15" hidden="false" customHeight="false" outlineLevel="0" collapsed="false">
      <c r="I215" s="7"/>
      <c r="J215" s="7"/>
      <c r="M215" s="8"/>
      <c r="N215" s="0" t="str">
        <f aca="false">IF(C215="","",IF(AND(ISNUMBER(FIND("@",C215)),ISNUMBER(FIND(".",C215,FIND("@",C215))),ISERROR(FIND(" ",C215))),"OK","INVALID"))</f>
        <v/>
      </c>
      <c r="O215" s="0" t="str">
        <f aca="false">IF(C215="","",IF(COUNTIF($C$2:$C$500,C215)&gt;1,"DUPLICATE","OK"))</f>
        <v/>
      </c>
    </row>
    <row r="216" customFormat="false" ht="15" hidden="false" customHeight="false" outlineLevel="0" collapsed="false">
      <c r="I216" s="7"/>
      <c r="J216" s="7"/>
      <c r="M216" s="8"/>
      <c r="N216" s="0" t="str">
        <f aca="false">IF(C216="","",IF(AND(ISNUMBER(FIND("@",C216)),ISNUMBER(FIND(".",C216,FIND("@",C216))),ISERROR(FIND(" ",C216))),"OK","INVALID"))</f>
        <v/>
      </c>
      <c r="O216" s="0" t="str">
        <f aca="false">IF(C216="","",IF(COUNTIF($C$2:$C$500,C216)&gt;1,"DUPLICATE","OK"))</f>
        <v/>
      </c>
    </row>
    <row r="217" customFormat="false" ht="15" hidden="false" customHeight="false" outlineLevel="0" collapsed="false">
      <c r="I217" s="7"/>
      <c r="J217" s="7"/>
      <c r="M217" s="8"/>
      <c r="N217" s="0" t="str">
        <f aca="false">IF(C217="","",IF(AND(ISNUMBER(FIND("@",C217)),ISNUMBER(FIND(".",C217,FIND("@",C217))),ISERROR(FIND(" ",C217))),"OK","INVALID"))</f>
        <v/>
      </c>
      <c r="O217" s="0" t="str">
        <f aca="false">IF(C217="","",IF(COUNTIF($C$2:$C$500,C217)&gt;1,"DUPLICATE","OK"))</f>
        <v/>
      </c>
    </row>
    <row r="218" customFormat="false" ht="15" hidden="false" customHeight="false" outlineLevel="0" collapsed="false">
      <c r="I218" s="7"/>
      <c r="J218" s="7"/>
      <c r="M218" s="8"/>
      <c r="N218" s="0" t="str">
        <f aca="false">IF(C218="","",IF(AND(ISNUMBER(FIND("@",C218)),ISNUMBER(FIND(".",C218,FIND("@",C218))),ISERROR(FIND(" ",C218))),"OK","INVALID"))</f>
        <v/>
      </c>
      <c r="O218" s="0" t="str">
        <f aca="false">IF(C218="","",IF(COUNTIF($C$2:$C$500,C218)&gt;1,"DUPLICATE","OK"))</f>
        <v/>
      </c>
    </row>
    <row r="219" customFormat="false" ht="15" hidden="false" customHeight="false" outlineLevel="0" collapsed="false">
      <c r="I219" s="7"/>
      <c r="J219" s="7"/>
      <c r="M219" s="8"/>
      <c r="N219" s="0" t="str">
        <f aca="false">IF(C219="","",IF(AND(ISNUMBER(FIND("@",C219)),ISNUMBER(FIND(".",C219,FIND("@",C219))),ISERROR(FIND(" ",C219))),"OK","INVALID"))</f>
        <v/>
      </c>
      <c r="O219" s="0" t="str">
        <f aca="false">IF(C219="","",IF(COUNTIF($C$2:$C$500,C219)&gt;1,"DUPLICATE","OK"))</f>
        <v/>
      </c>
    </row>
    <row r="220" customFormat="false" ht="15" hidden="false" customHeight="false" outlineLevel="0" collapsed="false">
      <c r="I220" s="7"/>
      <c r="J220" s="7"/>
      <c r="M220" s="8"/>
      <c r="N220" s="0" t="str">
        <f aca="false">IF(C220="","",IF(AND(ISNUMBER(FIND("@",C220)),ISNUMBER(FIND(".",C220,FIND("@",C220))),ISERROR(FIND(" ",C220))),"OK","INVALID"))</f>
        <v/>
      </c>
      <c r="O220" s="0" t="str">
        <f aca="false">IF(C220="","",IF(COUNTIF($C$2:$C$500,C220)&gt;1,"DUPLICATE","OK"))</f>
        <v/>
      </c>
    </row>
    <row r="221" customFormat="false" ht="15" hidden="false" customHeight="false" outlineLevel="0" collapsed="false">
      <c r="I221" s="7"/>
      <c r="J221" s="7"/>
      <c r="M221" s="8"/>
      <c r="N221" s="0" t="str">
        <f aca="false">IF(C221="","",IF(AND(ISNUMBER(FIND("@",C221)),ISNUMBER(FIND(".",C221,FIND("@",C221))),ISERROR(FIND(" ",C221))),"OK","INVALID"))</f>
        <v/>
      </c>
      <c r="O221" s="0" t="str">
        <f aca="false">IF(C221="","",IF(COUNTIF($C$2:$C$500,C221)&gt;1,"DUPLICATE","OK"))</f>
        <v/>
      </c>
    </row>
    <row r="222" customFormat="false" ht="15" hidden="false" customHeight="false" outlineLevel="0" collapsed="false">
      <c r="I222" s="7"/>
      <c r="J222" s="7"/>
      <c r="M222" s="8"/>
      <c r="N222" s="0" t="str">
        <f aca="false">IF(C222="","",IF(AND(ISNUMBER(FIND("@",C222)),ISNUMBER(FIND(".",C222,FIND("@",C222))),ISERROR(FIND(" ",C222))),"OK","INVALID"))</f>
        <v/>
      </c>
      <c r="O222" s="0" t="str">
        <f aca="false">IF(C222="","",IF(COUNTIF($C$2:$C$500,C222)&gt;1,"DUPLICATE","OK"))</f>
        <v/>
      </c>
    </row>
    <row r="223" customFormat="false" ht="15" hidden="false" customHeight="false" outlineLevel="0" collapsed="false">
      <c r="I223" s="7"/>
      <c r="J223" s="7"/>
      <c r="M223" s="8"/>
      <c r="N223" s="0" t="str">
        <f aca="false">IF(C223="","",IF(AND(ISNUMBER(FIND("@",C223)),ISNUMBER(FIND(".",C223,FIND("@",C223))),ISERROR(FIND(" ",C223))),"OK","INVALID"))</f>
        <v/>
      </c>
      <c r="O223" s="0" t="str">
        <f aca="false">IF(C223="","",IF(COUNTIF($C$2:$C$500,C223)&gt;1,"DUPLICATE","OK"))</f>
        <v/>
      </c>
    </row>
    <row r="224" customFormat="false" ht="15" hidden="false" customHeight="false" outlineLevel="0" collapsed="false">
      <c r="I224" s="7"/>
      <c r="J224" s="7"/>
      <c r="M224" s="8"/>
      <c r="N224" s="0" t="str">
        <f aca="false">IF(C224="","",IF(AND(ISNUMBER(FIND("@",C224)),ISNUMBER(FIND(".",C224,FIND("@",C224))),ISERROR(FIND(" ",C224))),"OK","INVALID"))</f>
        <v/>
      </c>
      <c r="O224" s="0" t="str">
        <f aca="false">IF(C224="","",IF(COUNTIF($C$2:$C$500,C224)&gt;1,"DUPLICATE","OK"))</f>
        <v/>
      </c>
    </row>
    <row r="225" customFormat="false" ht="15" hidden="false" customHeight="false" outlineLevel="0" collapsed="false">
      <c r="I225" s="7"/>
      <c r="J225" s="7"/>
      <c r="M225" s="8"/>
      <c r="N225" s="0" t="str">
        <f aca="false">IF(C225="","",IF(AND(ISNUMBER(FIND("@",C225)),ISNUMBER(FIND(".",C225,FIND("@",C225))),ISERROR(FIND(" ",C225))),"OK","INVALID"))</f>
        <v/>
      </c>
      <c r="O225" s="0" t="str">
        <f aca="false">IF(C225="","",IF(COUNTIF($C$2:$C$500,C225)&gt;1,"DUPLICATE","OK"))</f>
        <v/>
      </c>
    </row>
    <row r="226" customFormat="false" ht="15" hidden="false" customHeight="false" outlineLevel="0" collapsed="false">
      <c r="I226" s="7"/>
      <c r="J226" s="7"/>
      <c r="M226" s="8"/>
      <c r="N226" s="0" t="str">
        <f aca="false">IF(C226="","",IF(AND(ISNUMBER(FIND("@",C226)),ISNUMBER(FIND(".",C226,FIND("@",C226))),ISERROR(FIND(" ",C226))),"OK","INVALID"))</f>
        <v/>
      </c>
      <c r="O226" s="0" t="str">
        <f aca="false">IF(C226="","",IF(COUNTIF($C$2:$C$500,C226)&gt;1,"DUPLICATE","OK"))</f>
        <v/>
      </c>
    </row>
    <row r="227" customFormat="false" ht="15" hidden="false" customHeight="false" outlineLevel="0" collapsed="false">
      <c r="I227" s="7"/>
      <c r="J227" s="7"/>
      <c r="M227" s="8"/>
      <c r="N227" s="0" t="str">
        <f aca="false">IF(C227="","",IF(AND(ISNUMBER(FIND("@",C227)),ISNUMBER(FIND(".",C227,FIND("@",C227))),ISERROR(FIND(" ",C227))),"OK","INVALID"))</f>
        <v/>
      </c>
      <c r="O227" s="0" t="str">
        <f aca="false">IF(C227="","",IF(COUNTIF($C$2:$C$500,C227)&gt;1,"DUPLICATE","OK"))</f>
        <v/>
      </c>
    </row>
    <row r="228" customFormat="false" ht="15" hidden="false" customHeight="false" outlineLevel="0" collapsed="false">
      <c r="I228" s="7"/>
      <c r="J228" s="7"/>
      <c r="M228" s="8"/>
      <c r="N228" s="0" t="str">
        <f aca="false">IF(C228="","",IF(AND(ISNUMBER(FIND("@",C228)),ISNUMBER(FIND(".",C228,FIND("@",C228))),ISERROR(FIND(" ",C228))),"OK","INVALID"))</f>
        <v/>
      </c>
      <c r="O228" s="0" t="str">
        <f aca="false">IF(C228="","",IF(COUNTIF($C$2:$C$500,C228)&gt;1,"DUPLICATE","OK"))</f>
        <v/>
      </c>
    </row>
    <row r="229" customFormat="false" ht="15" hidden="false" customHeight="false" outlineLevel="0" collapsed="false">
      <c r="I229" s="7"/>
      <c r="J229" s="7"/>
      <c r="M229" s="8"/>
      <c r="N229" s="0" t="str">
        <f aca="false">IF(C229="","",IF(AND(ISNUMBER(FIND("@",C229)),ISNUMBER(FIND(".",C229,FIND("@",C229))),ISERROR(FIND(" ",C229))),"OK","INVALID"))</f>
        <v/>
      </c>
      <c r="O229" s="0" t="str">
        <f aca="false">IF(C229="","",IF(COUNTIF($C$2:$C$500,C229)&gt;1,"DUPLICATE","OK"))</f>
        <v/>
      </c>
    </row>
    <row r="230" customFormat="false" ht="15" hidden="false" customHeight="false" outlineLevel="0" collapsed="false">
      <c r="I230" s="7"/>
      <c r="J230" s="7"/>
      <c r="M230" s="8"/>
      <c r="N230" s="0" t="str">
        <f aca="false">IF(C230="","",IF(AND(ISNUMBER(FIND("@",C230)),ISNUMBER(FIND(".",C230,FIND("@",C230))),ISERROR(FIND(" ",C230))),"OK","INVALID"))</f>
        <v/>
      </c>
      <c r="O230" s="0" t="str">
        <f aca="false">IF(C230="","",IF(COUNTIF($C$2:$C$500,C230)&gt;1,"DUPLICATE","OK"))</f>
        <v/>
      </c>
    </row>
    <row r="231" customFormat="false" ht="15" hidden="false" customHeight="false" outlineLevel="0" collapsed="false">
      <c r="I231" s="7"/>
      <c r="J231" s="7"/>
      <c r="M231" s="8"/>
      <c r="N231" s="0" t="str">
        <f aca="false">IF(C231="","",IF(AND(ISNUMBER(FIND("@",C231)),ISNUMBER(FIND(".",C231,FIND("@",C231))),ISERROR(FIND(" ",C231))),"OK","INVALID"))</f>
        <v/>
      </c>
      <c r="O231" s="0" t="str">
        <f aca="false">IF(C231="","",IF(COUNTIF($C$2:$C$500,C231)&gt;1,"DUPLICATE","OK"))</f>
        <v/>
      </c>
    </row>
    <row r="232" customFormat="false" ht="15" hidden="false" customHeight="false" outlineLevel="0" collapsed="false">
      <c r="I232" s="7"/>
      <c r="J232" s="7"/>
      <c r="M232" s="8"/>
      <c r="N232" s="0" t="str">
        <f aca="false">IF(C232="","",IF(AND(ISNUMBER(FIND("@",C232)),ISNUMBER(FIND(".",C232,FIND("@",C232))),ISERROR(FIND(" ",C232))),"OK","INVALID"))</f>
        <v/>
      </c>
      <c r="O232" s="0" t="str">
        <f aca="false">IF(C232="","",IF(COUNTIF($C$2:$C$500,C232)&gt;1,"DUPLICATE","OK"))</f>
        <v/>
      </c>
    </row>
    <row r="233" customFormat="false" ht="15" hidden="false" customHeight="false" outlineLevel="0" collapsed="false">
      <c r="I233" s="7"/>
      <c r="J233" s="7"/>
      <c r="M233" s="8"/>
      <c r="N233" s="0" t="str">
        <f aca="false">IF(C233="","",IF(AND(ISNUMBER(FIND("@",C233)),ISNUMBER(FIND(".",C233,FIND("@",C233))),ISERROR(FIND(" ",C233))),"OK","INVALID"))</f>
        <v/>
      </c>
      <c r="O233" s="0" t="str">
        <f aca="false">IF(C233="","",IF(COUNTIF($C$2:$C$500,C233)&gt;1,"DUPLICATE","OK"))</f>
        <v/>
      </c>
    </row>
    <row r="234" customFormat="false" ht="15" hidden="false" customHeight="false" outlineLevel="0" collapsed="false">
      <c r="I234" s="7"/>
      <c r="J234" s="7"/>
      <c r="M234" s="8"/>
      <c r="N234" s="0" t="str">
        <f aca="false">IF(C234="","",IF(AND(ISNUMBER(FIND("@",C234)),ISNUMBER(FIND(".",C234,FIND("@",C234))),ISERROR(FIND(" ",C234))),"OK","INVALID"))</f>
        <v/>
      </c>
      <c r="O234" s="0" t="str">
        <f aca="false">IF(C234="","",IF(COUNTIF($C$2:$C$500,C234)&gt;1,"DUPLICATE","OK"))</f>
        <v/>
      </c>
    </row>
    <row r="235" customFormat="false" ht="15" hidden="false" customHeight="false" outlineLevel="0" collapsed="false">
      <c r="I235" s="7"/>
      <c r="J235" s="7"/>
      <c r="M235" s="8"/>
      <c r="N235" s="0" t="str">
        <f aca="false">IF(C235="","",IF(AND(ISNUMBER(FIND("@",C235)),ISNUMBER(FIND(".",C235,FIND("@",C235))),ISERROR(FIND(" ",C235))),"OK","INVALID"))</f>
        <v/>
      </c>
      <c r="O235" s="0" t="str">
        <f aca="false">IF(C235="","",IF(COUNTIF($C$2:$C$500,C235)&gt;1,"DUPLICATE","OK"))</f>
        <v/>
      </c>
    </row>
    <row r="236" customFormat="false" ht="15" hidden="false" customHeight="false" outlineLevel="0" collapsed="false">
      <c r="I236" s="7"/>
      <c r="J236" s="7"/>
      <c r="M236" s="8"/>
      <c r="N236" s="0" t="str">
        <f aca="false">IF(C236="","",IF(AND(ISNUMBER(FIND("@",C236)),ISNUMBER(FIND(".",C236,FIND("@",C236))),ISERROR(FIND(" ",C236))),"OK","INVALID"))</f>
        <v/>
      </c>
      <c r="O236" s="0" t="str">
        <f aca="false">IF(C236="","",IF(COUNTIF($C$2:$C$500,C236)&gt;1,"DUPLICATE","OK"))</f>
        <v/>
      </c>
    </row>
    <row r="237" customFormat="false" ht="15" hidden="false" customHeight="false" outlineLevel="0" collapsed="false">
      <c r="I237" s="7"/>
      <c r="J237" s="7"/>
      <c r="M237" s="8"/>
      <c r="N237" s="0" t="str">
        <f aca="false">IF(C237="","",IF(AND(ISNUMBER(FIND("@",C237)),ISNUMBER(FIND(".",C237,FIND("@",C237))),ISERROR(FIND(" ",C237))),"OK","INVALID"))</f>
        <v/>
      </c>
      <c r="O237" s="0" t="str">
        <f aca="false">IF(C237="","",IF(COUNTIF($C$2:$C$500,C237)&gt;1,"DUPLICATE","OK"))</f>
        <v/>
      </c>
    </row>
    <row r="238" customFormat="false" ht="15" hidden="false" customHeight="false" outlineLevel="0" collapsed="false">
      <c r="I238" s="7"/>
      <c r="J238" s="7"/>
      <c r="M238" s="8"/>
      <c r="N238" s="0" t="str">
        <f aca="false">IF(C238="","",IF(AND(ISNUMBER(FIND("@",C238)),ISNUMBER(FIND(".",C238,FIND("@",C238))),ISERROR(FIND(" ",C238))),"OK","INVALID"))</f>
        <v/>
      </c>
      <c r="O238" s="0" t="str">
        <f aca="false">IF(C238="","",IF(COUNTIF($C$2:$C$500,C238)&gt;1,"DUPLICATE","OK"))</f>
        <v/>
      </c>
    </row>
    <row r="239" customFormat="false" ht="15" hidden="false" customHeight="false" outlineLevel="0" collapsed="false">
      <c r="I239" s="7"/>
      <c r="J239" s="7"/>
      <c r="M239" s="8"/>
      <c r="N239" s="0" t="str">
        <f aca="false">IF(C239="","",IF(AND(ISNUMBER(FIND("@",C239)),ISNUMBER(FIND(".",C239,FIND("@",C239))),ISERROR(FIND(" ",C239))),"OK","INVALID"))</f>
        <v/>
      </c>
      <c r="O239" s="0" t="str">
        <f aca="false">IF(C239="","",IF(COUNTIF($C$2:$C$500,C239)&gt;1,"DUPLICATE","OK"))</f>
        <v/>
      </c>
    </row>
    <row r="240" customFormat="false" ht="15" hidden="false" customHeight="false" outlineLevel="0" collapsed="false">
      <c r="I240" s="7"/>
      <c r="J240" s="7"/>
      <c r="M240" s="8"/>
      <c r="N240" s="0" t="str">
        <f aca="false">IF(C240="","",IF(AND(ISNUMBER(FIND("@",C240)),ISNUMBER(FIND(".",C240,FIND("@",C240))),ISERROR(FIND(" ",C240))),"OK","INVALID"))</f>
        <v/>
      </c>
      <c r="O240" s="0" t="str">
        <f aca="false">IF(C240="","",IF(COUNTIF($C$2:$C$500,C240)&gt;1,"DUPLICATE","OK"))</f>
        <v/>
      </c>
    </row>
    <row r="241" customFormat="false" ht="15" hidden="false" customHeight="false" outlineLevel="0" collapsed="false">
      <c r="I241" s="7"/>
      <c r="J241" s="7"/>
      <c r="M241" s="8"/>
      <c r="N241" s="0" t="str">
        <f aca="false">IF(C241="","",IF(AND(ISNUMBER(FIND("@",C241)),ISNUMBER(FIND(".",C241,FIND("@",C241))),ISERROR(FIND(" ",C241))),"OK","INVALID"))</f>
        <v/>
      </c>
      <c r="O241" s="0" t="str">
        <f aca="false">IF(C241="","",IF(COUNTIF($C$2:$C$500,C241)&gt;1,"DUPLICATE","OK"))</f>
        <v/>
      </c>
    </row>
    <row r="242" customFormat="false" ht="15" hidden="false" customHeight="false" outlineLevel="0" collapsed="false">
      <c r="I242" s="7"/>
      <c r="J242" s="7"/>
      <c r="M242" s="8"/>
      <c r="N242" s="0" t="str">
        <f aca="false">IF(C242="","",IF(AND(ISNUMBER(FIND("@",C242)),ISNUMBER(FIND(".",C242,FIND("@",C242))),ISERROR(FIND(" ",C242))),"OK","INVALID"))</f>
        <v/>
      </c>
      <c r="O242" s="0" t="str">
        <f aca="false">IF(C242="","",IF(COUNTIF($C$2:$C$500,C242)&gt;1,"DUPLICATE","OK"))</f>
        <v/>
      </c>
    </row>
    <row r="243" customFormat="false" ht="15" hidden="false" customHeight="false" outlineLevel="0" collapsed="false">
      <c r="I243" s="7"/>
      <c r="J243" s="7"/>
      <c r="M243" s="8"/>
      <c r="N243" s="0" t="str">
        <f aca="false">IF(C243="","",IF(AND(ISNUMBER(FIND("@",C243)),ISNUMBER(FIND(".",C243,FIND("@",C243))),ISERROR(FIND(" ",C243))),"OK","INVALID"))</f>
        <v/>
      </c>
      <c r="O243" s="0" t="str">
        <f aca="false">IF(C243="","",IF(COUNTIF($C$2:$C$500,C243)&gt;1,"DUPLICATE","OK"))</f>
        <v/>
      </c>
    </row>
    <row r="244" customFormat="false" ht="15" hidden="false" customHeight="false" outlineLevel="0" collapsed="false">
      <c r="I244" s="7"/>
      <c r="J244" s="7"/>
      <c r="M244" s="8"/>
      <c r="N244" s="0" t="str">
        <f aca="false">IF(C244="","",IF(AND(ISNUMBER(FIND("@",C244)),ISNUMBER(FIND(".",C244,FIND("@",C244))),ISERROR(FIND(" ",C244))),"OK","INVALID"))</f>
        <v/>
      </c>
      <c r="O244" s="0" t="str">
        <f aca="false">IF(C244="","",IF(COUNTIF($C$2:$C$500,C244)&gt;1,"DUPLICATE","OK"))</f>
        <v/>
      </c>
    </row>
    <row r="245" customFormat="false" ht="15" hidden="false" customHeight="false" outlineLevel="0" collapsed="false">
      <c r="I245" s="7"/>
      <c r="J245" s="7"/>
      <c r="M245" s="8"/>
      <c r="N245" s="0" t="str">
        <f aca="false">IF(C245="","",IF(AND(ISNUMBER(FIND("@",C245)),ISNUMBER(FIND(".",C245,FIND("@",C245))),ISERROR(FIND(" ",C245))),"OK","INVALID"))</f>
        <v/>
      </c>
      <c r="O245" s="0" t="str">
        <f aca="false">IF(C245="","",IF(COUNTIF($C$2:$C$500,C245)&gt;1,"DUPLICATE","OK"))</f>
        <v/>
      </c>
    </row>
    <row r="246" customFormat="false" ht="15" hidden="false" customHeight="false" outlineLevel="0" collapsed="false">
      <c r="I246" s="7"/>
      <c r="J246" s="7"/>
      <c r="M246" s="8"/>
      <c r="N246" s="0" t="str">
        <f aca="false">IF(C246="","",IF(AND(ISNUMBER(FIND("@",C246)),ISNUMBER(FIND(".",C246,FIND("@",C246))),ISERROR(FIND(" ",C246))),"OK","INVALID"))</f>
        <v/>
      </c>
      <c r="O246" s="0" t="str">
        <f aca="false">IF(C246="","",IF(COUNTIF($C$2:$C$500,C246)&gt;1,"DUPLICATE","OK"))</f>
        <v/>
      </c>
    </row>
    <row r="247" customFormat="false" ht="15" hidden="false" customHeight="false" outlineLevel="0" collapsed="false">
      <c r="I247" s="7"/>
      <c r="J247" s="7"/>
      <c r="M247" s="8"/>
      <c r="N247" s="0" t="str">
        <f aca="false">IF(C247="","",IF(AND(ISNUMBER(FIND("@",C247)),ISNUMBER(FIND(".",C247,FIND("@",C247))),ISERROR(FIND(" ",C247))),"OK","INVALID"))</f>
        <v/>
      </c>
      <c r="O247" s="0" t="str">
        <f aca="false">IF(C247="","",IF(COUNTIF($C$2:$C$500,C247)&gt;1,"DUPLICATE","OK"))</f>
        <v/>
      </c>
    </row>
    <row r="248" customFormat="false" ht="15" hidden="false" customHeight="false" outlineLevel="0" collapsed="false">
      <c r="I248" s="7"/>
      <c r="J248" s="7"/>
      <c r="M248" s="8"/>
      <c r="N248" s="0" t="str">
        <f aca="false">IF(C248="","",IF(AND(ISNUMBER(FIND("@",C248)),ISNUMBER(FIND(".",C248,FIND("@",C248))),ISERROR(FIND(" ",C248))),"OK","INVALID"))</f>
        <v/>
      </c>
      <c r="O248" s="0" t="str">
        <f aca="false">IF(C248="","",IF(COUNTIF($C$2:$C$500,C248)&gt;1,"DUPLICATE","OK"))</f>
        <v/>
      </c>
    </row>
    <row r="249" customFormat="false" ht="15" hidden="false" customHeight="false" outlineLevel="0" collapsed="false">
      <c r="I249" s="7"/>
      <c r="J249" s="7"/>
      <c r="M249" s="8"/>
      <c r="N249" s="0" t="str">
        <f aca="false">IF(C249="","",IF(AND(ISNUMBER(FIND("@",C249)),ISNUMBER(FIND(".",C249,FIND("@",C249))),ISERROR(FIND(" ",C249))),"OK","INVALID"))</f>
        <v/>
      </c>
      <c r="O249" s="0" t="str">
        <f aca="false">IF(C249="","",IF(COUNTIF($C$2:$C$500,C249)&gt;1,"DUPLICATE","OK"))</f>
        <v/>
      </c>
    </row>
    <row r="250" customFormat="false" ht="15" hidden="false" customHeight="false" outlineLevel="0" collapsed="false">
      <c r="I250" s="7"/>
      <c r="J250" s="7"/>
      <c r="M250" s="8"/>
      <c r="N250" s="0" t="str">
        <f aca="false">IF(C250="","",IF(AND(ISNUMBER(FIND("@",C250)),ISNUMBER(FIND(".",C250,FIND("@",C250))),ISERROR(FIND(" ",C250))),"OK","INVALID"))</f>
        <v/>
      </c>
      <c r="O250" s="0" t="str">
        <f aca="false">IF(C250="","",IF(COUNTIF($C$2:$C$500,C250)&gt;1,"DUPLICATE","OK"))</f>
        <v/>
      </c>
    </row>
    <row r="251" customFormat="false" ht="15" hidden="false" customHeight="false" outlineLevel="0" collapsed="false">
      <c r="I251" s="7"/>
      <c r="J251" s="7"/>
      <c r="M251" s="8"/>
      <c r="N251" s="0" t="str">
        <f aca="false">IF(C251="","",IF(AND(ISNUMBER(FIND("@",C251)),ISNUMBER(FIND(".",C251,FIND("@",C251))),ISERROR(FIND(" ",C251))),"OK","INVALID"))</f>
        <v/>
      </c>
      <c r="O251" s="0" t="str">
        <f aca="false">IF(C251="","",IF(COUNTIF($C$2:$C$500,C251)&gt;1,"DUPLICATE","OK"))</f>
        <v/>
      </c>
    </row>
    <row r="252" customFormat="false" ht="15" hidden="false" customHeight="false" outlineLevel="0" collapsed="false">
      <c r="I252" s="7"/>
      <c r="J252" s="7"/>
      <c r="M252" s="8"/>
      <c r="N252" s="0" t="str">
        <f aca="false">IF(C252="","",IF(AND(ISNUMBER(FIND("@",C252)),ISNUMBER(FIND(".",C252,FIND("@",C252))),ISERROR(FIND(" ",C252))),"OK","INVALID"))</f>
        <v/>
      </c>
      <c r="O252" s="0" t="str">
        <f aca="false">IF(C252="","",IF(COUNTIF($C$2:$C$500,C252)&gt;1,"DUPLICATE","OK"))</f>
        <v/>
      </c>
    </row>
    <row r="253" customFormat="false" ht="15" hidden="false" customHeight="false" outlineLevel="0" collapsed="false">
      <c r="I253" s="7"/>
      <c r="J253" s="7"/>
      <c r="M253" s="8"/>
      <c r="N253" s="0" t="str">
        <f aca="false">IF(C253="","",IF(AND(ISNUMBER(FIND("@",C253)),ISNUMBER(FIND(".",C253,FIND("@",C253))),ISERROR(FIND(" ",C253))),"OK","INVALID"))</f>
        <v/>
      </c>
      <c r="O253" s="0" t="str">
        <f aca="false">IF(C253="","",IF(COUNTIF($C$2:$C$500,C253)&gt;1,"DUPLICATE","OK"))</f>
        <v/>
      </c>
    </row>
    <row r="254" customFormat="false" ht="15" hidden="false" customHeight="false" outlineLevel="0" collapsed="false">
      <c r="I254" s="7"/>
      <c r="J254" s="7"/>
      <c r="M254" s="8"/>
      <c r="N254" s="0" t="str">
        <f aca="false">IF(C254="","",IF(AND(ISNUMBER(FIND("@",C254)),ISNUMBER(FIND(".",C254,FIND("@",C254))),ISERROR(FIND(" ",C254))),"OK","INVALID"))</f>
        <v/>
      </c>
      <c r="O254" s="0" t="str">
        <f aca="false">IF(C254="","",IF(COUNTIF($C$2:$C$500,C254)&gt;1,"DUPLICATE","OK"))</f>
        <v/>
      </c>
    </row>
    <row r="255" customFormat="false" ht="15" hidden="false" customHeight="false" outlineLevel="0" collapsed="false">
      <c r="I255" s="7"/>
      <c r="J255" s="7"/>
      <c r="M255" s="8"/>
      <c r="N255" s="0" t="str">
        <f aca="false">IF(C255="","",IF(AND(ISNUMBER(FIND("@",C255)),ISNUMBER(FIND(".",C255,FIND("@",C255))),ISERROR(FIND(" ",C255))),"OK","INVALID"))</f>
        <v/>
      </c>
      <c r="O255" s="0" t="str">
        <f aca="false">IF(C255="","",IF(COUNTIF($C$2:$C$500,C255)&gt;1,"DUPLICATE","OK"))</f>
        <v/>
      </c>
    </row>
    <row r="256" customFormat="false" ht="15" hidden="false" customHeight="false" outlineLevel="0" collapsed="false">
      <c r="I256" s="7"/>
      <c r="J256" s="7"/>
      <c r="M256" s="8"/>
      <c r="N256" s="0" t="str">
        <f aca="false">IF(C256="","",IF(AND(ISNUMBER(FIND("@",C256)),ISNUMBER(FIND(".",C256,FIND("@",C256))),ISERROR(FIND(" ",C256))),"OK","INVALID"))</f>
        <v/>
      </c>
      <c r="O256" s="0" t="str">
        <f aca="false">IF(C256="","",IF(COUNTIF($C$2:$C$500,C256)&gt;1,"DUPLICATE","OK"))</f>
        <v/>
      </c>
    </row>
    <row r="257" customFormat="false" ht="15" hidden="false" customHeight="false" outlineLevel="0" collapsed="false">
      <c r="I257" s="7"/>
      <c r="J257" s="7"/>
      <c r="M257" s="8"/>
      <c r="N257" s="0" t="str">
        <f aca="false">IF(C257="","",IF(AND(ISNUMBER(FIND("@",C257)),ISNUMBER(FIND(".",C257,FIND("@",C257))),ISERROR(FIND(" ",C257))),"OK","INVALID"))</f>
        <v/>
      </c>
      <c r="O257" s="0" t="str">
        <f aca="false">IF(C257="","",IF(COUNTIF($C$2:$C$500,C257)&gt;1,"DUPLICATE","OK"))</f>
        <v/>
      </c>
    </row>
    <row r="258" customFormat="false" ht="15" hidden="false" customHeight="false" outlineLevel="0" collapsed="false">
      <c r="I258" s="7"/>
      <c r="J258" s="7"/>
      <c r="M258" s="8"/>
      <c r="N258" s="0" t="str">
        <f aca="false">IF(C258="","",IF(AND(ISNUMBER(FIND("@",C258)),ISNUMBER(FIND(".",C258,FIND("@",C258))),ISERROR(FIND(" ",C258))),"OK","INVALID"))</f>
        <v/>
      </c>
      <c r="O258" s="0" t="str">
        <f aca="false">IF(C258="","",IF(COUNTIF($C$2:$C$500,C258)&gt;1,"DUPLICATE","OK"))</f>
        <v/>
      </c>
    </row>
    <row r="259" customFormat="false" ht="15" hidden="false" customHeight="false" outlineLevel="0" collapsed="false">
      <c r="I259" s="7"/>
      <c r="J259" s="7"/>
      <c r="M259" s="8"/>
      <c r="N259" s="0" t="str">
        <f aca="false">IF(C259="","",IF(AND(ISNUMBER(FIND("@",C259)),ISNUMBER(FIND(".",C259,FIND("@",C259))),ISERROR(FIND(" ",C259))),"OK","INVALID"))</f>
        <v/>
      </c>
      <c r="O259" s="0" t="str">
        <f aca="false">IF(C259="","",IF(COUNTIF($C$2:$C$500,C259)&gt;1,"DUPLICATE","OK"))</f>
        <v/>
      </c>
    </row>
    <row r="260" customFormat="false" ht="15" hidden="false" customHeight="false" outlineLevel="0" collapsed="false">
      <c r="I260" s="7"/>
      <c r="J260" s="7"/>
      <c r="M260" s="8"/>
      <c r="N260" s="0" t="str">
        <f aca="false">IF(C260="","",IF(AND(ISNUMBER(FIND("@",C260)),ISNUMBER(FIND(".",C260,FIND("@",C260))),ISERROR(FIND(" ",C260))),"OK","INVALID"))</f>
        <v/>
      </c>
      <c r="O260" s="0" t="str">
        <f aca="false">IF(C260="","",IF(COUNTIF($C$2:$C$500,C260)&gt;1,"DUPLICATE","OK"))</f>
        <v/>
      </c>
    </row>
    <row r="261" customFormat="false" ht="15" hidden="false" customHeight="false" outlineLevel="0" collapsed="false">
      <c r="I261" s="7"/>
      <c r="J261" s="7"/>
      <c r="M261" s="8"/>
      <c r="N261" s="0" t="str">
        <f aca="false">IF(C261="","",IF(AND(ISNUMBER(FIND("@",C261)),ISNUMBER(FIND(".",C261,FIND("@",C261))),ISERROR(FIND(" ",C261))),"OK","INVALID"))</f>
        <v/>
      </c>
      <c r="O261" s="0" t="str">
        <f aca="false">IF(C261="","",IF(COUNTIF($C$2:$C$500,C261)&gt;1,"DUPLICATE","OK"))</f>
        <v/>
      </c>
    </row>
    <row r="262" customFormat="false" ht="15" hidden="false" customHeight="false" outlineLevel="0" collapsed="false">
      <c r="I262" s="7"/>
      <c r="J262" s="7"/>
      <c r="M262" s="8"/>
      <c r="N262" s="0" t="str">
        <f aca="false">IF(C262="","",IF(AND(ISNUMBER(FIND("@",C262)),ISNUMBER(FIND(".",C262,FIND("@",C262))),ISERROR(FIND(" ",C262))),"OK","INVALID"))</f>
        <v/>
      </c>
      <c r="O262" s="0" t="str">
        <f aca="false">IF(C262="","",IF(COUNTIF($C$2:$C$500,C262)&gt;1,"DUPLICATE","OK"))</f>
        <v/>
      </c>
    </row>
    <row r="263" customFormat="false" ht="15" hidden="false" customHeight="false" outlineLevel="0" collapsed="false">
      <c r="I263" s="7"/>
      <c r="J263" s="7"/>
      <c r="M263" s="8"/>
      <c r="N263" s="0" t="str">
        <f aca="false">IF(C263="","",IF(AND(ISNUMBER(FIND("@",C263)),ISNUMBER(FIND(".",C263,FIND("@",C263))),ISERROR(FIND(" ",C263))),"OK","INVALID"))</f>
        <v/>
      </c>
      <c r="O263" s="0" t="str">
        <f aca="false">IF(C263="","",IF(COUNTIF($C$2:$C$500,C263)&gt;1,"DUPLICATE","OK"))</f>
        <v/>
      </c>
    </row>
    <row r="264" customFormat="false" ht="15" hidden="false" customHeight="false" outlineLevel="0" collapsed="false">
      <c r="I264" s="7"/>
      <c r="J264" s="7"/>
      <c r="M264" s="8"/>
      <c r="N264" s="0" t="str">
        <f aca="false">IF(C264="","",IF(AND(ISNUMBER(FIND("@",C264)),ISNUMBER(FIND(".",C264,FIND("@",C264))),ISERROR(FIND(" ",C264))),"OK","INVALID"))</f>
        <v/>
      </c>
      <c r="O264" s="0" t="str">
        <f aca="false">IF(C264="","",IF(COUNTIF($C$2:$C$500,C264)&gt;1,"DUPLICATE","OK"))</f>
        <v/>
      </c>
    </row>
    <row r="265" customFormat="false" ht="15" hidden="false" customHeight="false" outlineLevel="0" collapsed="false">
      <c r="I265" s="7"/>
      <c r="J265" s="7"/>
      <c r="M265" s="8"/>
      <c r="N265" s="0" t="str">
        <f aca="false">IF(C265="","",IF(AND(ISNUMBER(FIND("@",C265)),ISNUMBER(FIND(".",C265,FIND("@",C265))),ISERROR(FIND(" ",C265))),"OK","INVALID"))</f>
        <v/>
      </c>
      <c r="O265" s="0" t="str">
        <f aca="false">IF(C265="","",IF(COUNTIF($C$2:$C$500,C265)&gt;1,"DUPLICATE","OK"))</f>
        <v/>
      </c>
    </row>
    <row r="266" customFormat="false" ht="15" hidden="false" customHeight="false" outlineLevel="0" collapsed="false">
      <c r="I266" s="7"/>
      <c r="J266" s="7"/>
      <c r="M266" s="8"/>
      <c r="N266" s="0" t="str">
        <f aca="false">IF(C266="","",IF(AND(ISNUMBER(FIND("@",C266)),ISNUMBER(FIND(".",C266,FIND("@",C266))),ISERROR(FIND(" ",C266))),"OK","INVALID"))</f>
        <v/>
      </c>
      <c r="O266" s="0" t="str">
        <f aca="false">IF(C266="","",IF(COUNTIF($C$2:$C$500,C266)&gt;1,"DUPLICATE","OK"))</f>
        <v/>
      </c>
    </row>
    <row r="267" customFormat="false" ht="15" hidden="false" customHeight="false" outlineLevel="0" collapsed="false">
      <c r="I267" s="7"/>
      <c r="J267" s="7"/>
      <c r="M267" s="8"/>
      <c r="N267" s="0" t="str">
        <f aca="false">IF(C267="","",IF(AND(ISNUMBER(FIND("@",C267)),ISNUMBER(FIND(".",C267,FIND("@",C267))),ISERROR(FIND(" ",C267))),"OK","INVALID"))</f>
        <v/>
      </c>
      <c r="O267" s="0" t="str">
        <f aca="false">IF(C267="","",IF(COUNTIF($C$2:$C$500,C267)&gt;1,"DUPLICATE","OK"))</f>
        <v/>
      </c>
    </row>
    <row r="268" customFormat="false" ht="15" hidden="false" customHeight="false" outlineLevel="0" collapsed="false">
      <c r="I268" s="7"/>
      <c r="J268" s="7"/>
      <c r="M268" s="8"/>
      <c r="N268" s="0" t="str">
        <f aca="false">IF(C268="","",IF(AND(ISNUMBER(FIND("@",C268)),ISNUMBER(FIND(".",C268,FIND("@",C268))),ISERROR(FIND(" ",C268))),"OK","INVALID"))</f>
        <v/>
      </c>
      <c r="O268" s="0" t="str">
        <f aca="false">IF(C268="","",IF(COUNTIF($C$2:$C$500,C268)&gt;1,"DUPLICATE","OK"))</f>
        <v/>
      </c>
    </row>
    <row r="269" customFormat="false" ht="15" hidden="false" customHeight="false" outlineLevel="0" collapsed="false">
      <c r="I269" s="7"/>
      <c r="J269" s="7"/>
      <c r="M269" s="8"/>
      <c r="N269" s="0" t="str">
        <f aca="false">IF(C269="","",IF(AND(ISNUMBER(FIND("@",C269)),ISNUMBER(FIND(".",C269,FIND("@",C269))),ISERROR(FIND(" ",C269))),"OK","INVALID"))</f>
        <v/>
      </c>
      <c r="O269" s="0" t="str">
        <f aca="false">IF(C269="","",IF(COUNTIF($C$2:$C$500,C269)&gt;1,"DUPLICATE","OK"))</f>
        <v/>
      </c>
    </row>
    <row r="270" customFormat="false" ht="15" hidden="false" customHeight="false" outlineLevel="0" collapsed="false">
      <c r="I270" s="7"/>
      <c r="J270" s="7"/>
      <c r="M270" s="8"/>
      <c r="N270" s="0" t="str">
        <f aca="false">IF(C270="","",IF(AND(ISNUMBER(FIND("@",C270)),ISNUMBER(FIND(".",C270,FIND("@",C270))),ISERROR(FIND(" ",C270))),"OK","INVALID"))</f>
        <v/>
      </c>
      <c r="O270" s="0" t="str">
        <f aca="false">IF(C270="","",IF(COUNTIF($C$2:$C$500,C270)&gt;1,"DUPLICATE","OK"))</f>
        <v/>
      </c>
    </row>
    <row r="271" customFormat="false" ht="15" hidden="false" customHeight="false" outlineLevel="0" collapsed="false">
      <c r="I271" s="7"/>
      <c r="J271" s="7"/>
      <c r="M271" s="8"/>
      <c r="N271" s="0" t="str">
        <f aca="false">IF(C271="","",IF(AND(ISNUMBER(FIND("@",C271)),ISNUMBER(FIND(".",C271,FIND("@",C271))),ISERROR(FIND(" ",C271))),"OK","INVALID"))</f>
        <v/>
      </c>
      <c r="O271" s="0" t="str">
        <f aca="false">IF(C271="","",IF(COUNTIF($C$2:$C$500,C271)&gt;1,"DUPLICATE","OK"))</f>
        <v/>
      </c>
    </row>
    <row r="272" customFormat="false" ht="15" hidden="false" customHeight="false" outlineLevel="0" collapsed="false">
      <c r="I272" s="7"/>
      <c r="J272" s="7"/>
      <c r="M272" s="8"/>
      <c r="N272" s="0" t="str">
        <f aca="false">IF(C272="","",IF(AND(ISNUMBER(FIND("@",C272)),ISNUMBER(FIND(".",C272,FIND("@",C272))),ISERROR(FIND(" ",C272))),"OK","INVALID"))</f>
        <v/>
      </c>
      <c r="O272" s="0" t="str">
        <f aca="false">IF(C272="","",IF(COUNTIF($C$2:$C$500,C272)&gt;1,"DUPLICATE","OK"))</f>
        <v/>
      </c>
    </row>
    <row r="273" customFormat="false" ht="15" hidden="false" customHeight="false" outlineLevel="0" collapsed="false">
      <c r="I273" s="7"/>
      <c r="J273" s="7"/>
      <c r="M273" s="8"/>
      <c r="N273" s="0" t="str">
        <f aca="false">IF(C273="","",IF(AND(ISNUMBER(FIND("@",C273)),ISNUMBER(FIND(".",C273,FIND("@",C273))),ISERROR(FIND(" ",C273))),"OK","INVALID"))</f>
        <v/>
      </c>
      <c r="O273" s="0" t="str">
        <f aca="false">IF(C273="","",IF(COUNTIF($C$2:$C$500,C273)&gt;1,"DUPLICATE","OK"))</f>
        <v/>
      </c>
    </row>
    <row r="274" customFormat="false" ht="15" hidden="false" customHeight="false" outlineLevel="0" collapsed="false">
      <c r="I274" s="7"/>
      <c r="J274" s="7"/>
      <c r="M274" s="8"/>
      <c r="N274" s="0" t="str">
        <f aca="false">IF(C274="","",IF(AND(ISNUMBER(FIND("@",C274)),ISNUMBER(FIND(".",C274,FIND("@",C274))),ISERROR(FIND(" ",C274))),"OK","INVALID"))</f>
        <v/>
      </c>
      <c r="O274" s="0" t="str">
        <f aca="false">IF(C274="","",IF(COUNTIF($C$2:$C$500,C274)&gt;1,"DUPLICATE","OK"))</f>
        <v/>
      </c>
    </row>
    <row r="275" customFormat="false" ht="15" hidden="false" customHeight="false" outlineLevel="0" collapsed="false">
      <c r="I275" s="7"/>
      <c r="J275" s="7"/>
      <c r="M275" s="8"/>
      <c r="N275" s="0" t="str">
        <f aca="false">IF(C275="","",IF(AND(ISNUMBER(FIND("@",C275)),ISNUMBER(FIND(".",C275,FIND("@",C275))),ISERROR(FIND(" ",C275))),"OK","INVALID"))</f>
        <v/>
      </c>
      <c r="O275" s="0" t="str">
        <f aca="false">IF(C275="","",IF(COUNTIF($C$2:$C$500,C275)&gt;1,"DUPLICATE","OK"))</f>
        <v/>
      </c>
    </row>
    <row r="276" customFormat="false" ht="15" hidden="false" customHeight="false" outlineLevel="0" collapsed="false">
      <c r="I276" s="7"/>
      <c r="J276" s="7"/>
      <c r="M276" s="8"/>
      <c r="N276" s="0" t="str">
        <f aca="false">IF(C276="","",IF(AND(ISNUMBER(FIND("@",C276)),ISNUMBER(FIND(".",C276,FIND("@",C276))),ISERROR(FIND(" ",C276))),"OK","INVALID"))</f>
        <v/>
      </c>
      <c r="O276" s="0" t="str">
        <f aca="false">IF(C276="","",IF(COUNTIF($C$2:$C$500,C276)&gt;1,"DUPLICATE","OK"))</f>
        <v/>
      </c>
    </row>
    <row r="277" customFormat="false" ht="15" hidden="false" customHeight="false" outlineLevel="0" collapsed="false">
      <c r="I277" s="7"/>
      <c r="J277" s="7"/>
      <c r="M277" s="8"/>
      <c r="N277" s="0" t="str">
        <f aca="false">IF(C277="","",IF(AND(ISNUMBER(FIND("@",C277)),ISNUMBER(FIND(".",C277,FIND("@",C277))),ISERROR(FIND(" ",C277))),"OK","INVALID"))</f>
        <v/>
      </c>
      <c r="O277" s="0" t="str">
        <f aca="false">IF(C277="","",IF(COUNTIF($C$2:$C$500,C277)&gt;1,"DUPLICATE","OK"))</f>
        <v/>
      </c>
    </row>
    <row r="278" customFormat="false" ht="15" hidden="false" customHeight="false" outlineLevel="0" collapsed="false">
      <c r="I278" s="7"/>
      <c r="J278" s="7"/>
      <c r="M278" s="8"/>
      <c r="N278" s="0" t="str">
        <f aca="false">IF(C278="","",IF(AND(ISNUMBER(FIND("@",C278)),ISNUMBER(FIND(".",C278,FIND("@",C278))),ISERROR(FIND(" ",C278))),"OK","INVALID"))</f>
        <v/>
      </c>
      <c r="O278" s="0" t="str">
        <f aca="false">IF(C278="","",IF(COUNTIF($C$2:$C$500,C278)&gt;1,"DUPLICATE","OK"))</f>
        <v/>
      </c>
    </row>
    <row r="279" customFormat="false" ht="15" hidden="false" customHeight="false" outlineLevel="0" collapsed="false">
      <c r="I279" s="7"/>
      <c r="J279" s="7"/>
      <c r="M279" s="8"/>
      <c r="N279" s="0" t="str">
        <f aca="false">IF(C279="","",IF(AND(ISNUMBER(FIND("@",C279)),ISNUMBER(FIND(".",C279,FIND("@",C279))),ISERROR(FIND(" ",C279))),"OK","INVALID"))</f>
        <v/>
      </c>
      <c r="O279" s="0" t="str">
        <f aca="false">IF(C279="","",IF(COUNTIF($C$2:$C$500,C279)&gt;1,"DUPLICATE","OK"))</f>
        <v/>
      </c>
    </row>
    <row r="280" customFormat="false" ht="15" hidden="false" customHeight="false" outlineLevel="0" collapsed="false">
      <c r="I280" s="7"/>
      <c r="J280" s="7"/>
      <c r="M280" s="8"/>
      <c r="N280" s="0" t="str">
        <f aca="false">IF(C280="","",IF(AND(ISNUMBER(FIND("@",C280)),ISNUMBER(FIND(".",C280,FIND("@",C280))),ISERROR(FIND(" ",C280))),"OK","INVALID"))</f>
        <v/>
      </c>
      <c r="O280" s="0" t="str">
        <f aca="false">IF(C280="","",IF(COUNTIF($C$2:$C$500,C280)&gt;1,"DUPLICATE","OK"))</f>
        <v/>
      </c>
    </row>
    <row r="281" customFormat="false" ht="15" hidden="false" customHeight="false" outlineLevel="0" collapsed="false">
      <c r="I281" s="7"/>
      <c r="J281" s="7"/>
      <c r="M281" s="8"/>
      <c r="N281" s="0" t="str">
        <f aca="false">IF(C281="","",IF(AND(ISNUMBER(FIND("@",C281)),ISNUMBER(FIND(".",C281,FIND("@",C281))),ISERROR(FIND(" ",C281))),"OK","INVALID"))</f>
        <v/>
      </c>
      <c r="O281" s="0" t="str">
        <f aca="false">IF(C281="","",IF(COUNTIF($C$2:$C$500,C281)&gt;1,"DUPLICATE","OK"))</f>
        <v/>
      </c>
    </row>
    <row r="282" customFormat="false" ht="15" hidden="false" customHeight="false" outlineLevel="0" collapsed="false">
      <c r="I282" s="7"/>
      <c r="J282" s="7"/>
      <c r="M282" s="8"/>
      <c r="N282" s="0" t="str">
        <f aca="false">IF(C282="","",IF(AND(ISNUMBER(FIND("@",C282)),ISNUMBER(FIND(".",C282,FIND("@",C282))),ISERROR(FIND(" ",C282))),"OK","INVALID"))</f>
        <v/>
      </c>
      <c r="O282" s="0" t="str">
        <f aca="false">IF(C282="","",IF(COUNTIF($C$2:$C$500,C282)&gt;1,"DUPLICATE","OK"))</f>
        <v/>
      </c>
    </row>
    <row r="283" customFormat="false" ht="15" hidden="false" customHeight="false" outlineLevel="0" collapsed="false">
      <c r="I283" s="7"/>
      <c r="J283" s="7"/>
      <c r="M283" s="8"/>
      <c r="N283" s="0" t="str">
        <f aca="false">IF(C283="","",IF(AND(ISNUMBER(FIND("@",C283)),ISNUMBER(FIND(".",C283,FIND("@",C283))),ISERROR(FIND(" ",C283))),"OK","INVALID"))</f>
        <v/>
      </c>
      <c r="O283" s="0" t="str">
        <f aca="false">IF(C283="","",IF(COUNTIF($C$2:$C$500,C283)&gt;1,"DUPLICATE","OK"))</f>
        <v/>
      </c>
    </row>
    <row r="284" customFormat="false" ht="15" hidden="false" customHeight="false" outlineLevel="0" collapsed="false">
      <c r="I284" s="7"/>
      <c r="J284" s="7"/>
      <c r="M284" s="8"/>
      <c r="N284" s="0" t="str">
        <f aca="false">IF(C284="","",IF(AND(ISNUMBER(FIND("@",C284)),ISNUMBER(FIND(".",C284,FIND("@",C284))),ISERROR(FIND(" ",C284))),"OK","INVALID"))</f>
        <v/>
      </c>
      <c r="O284" s="0" t="str">
        <f aca="false">IF(C284="","",IF(COUNTIF($C$2:$C$500,C284)&gt;1,"DUPLICATE","OK"))</f>
        <v/>
      </c>
    </row>
    <row r="285" customFormat="false" ht="15" hidden="false" customHeight="false" outlineLevel="0" collapsed="false">
      <c r="I285" s="7"/>
      <c r="J285" s="7"/>
      <c r="M285" s="8"/>
      <c r="N285" s="0" t="str">
        <f aca="false">IF(C285="","",IF(AND(ISNUMBER(FIND("@",C285)),ISNUMBER(FIND(".",C285,FIND("@",C285))),ISERROR(FIND(" ",C285))),"OK","INVALID"))</f>
        <v/>
      </c>
      <c r="O285" s="0" t="str">
        <f aca="false">IF(C285="","",IF(COUNTIF($C$2:$C$500,C285)&gt;1,"DUPLICATE","OK"))</f>
        <v/>
      </c>
    </row>
    <row r="286" customFormat="false" ht="15" hidden="false" customHeight="false" outlineLevel="0" collapsed="false">
      <c r="I286" s="7"/>
      <c r="J286" s="7"/>
      <c r="M286" s="8"/>
      <c r="N286" s="0" t="str">
        <f aca="false">IF(C286="","",IF(AND(ISNUMBER(FIND("@",C286)),ISNUMBER(FIND(".",C286,FIND("@",C286))),ISERROR(FIND(" ",C286))),"OK","INVALID"))</f>
        <v/>
      </c>
      <c r="O286" s="0" t="str">
        <f aca="false">IF(C286="","",IF(COUNTIF($C$2:$C$500,C286)&gt;1,"DUPLICATE","OK"))</f>
        <v/>
      </c>
    </row>
    <row r="287" customFormat="false" ht="15" hidden="false" customHeight="false" outlineLevel="0" collapsed="false">
      <c r="I287" s="7"/>
      <c r="J287" s="7"/>
      <c r="M287" s="8"/>
      <c r="N287" s="0" t="str">
        <f aca="false">IF(C287="","",IF(AND(ISNUMBER(FIND("@",C287)),ISNUMBER(FIND(".",C287,FIND("@",C287))),ISERROR(FIND(" ",C287))),"OK","INVALID"))</f>
        <v/>
      </c>
      <c r="O287" s="0" t="str">
        <f aca="false">IF(C287="","",IF(COUNTIF($C$2:$C$500,C287)&gt;1,"DUPLICATE","OK"))</f>
        <v/>
      </c>
    </row>
    <row r="288" customFormat="false" ht="15" hidden="false" customHeight="false" outlineLevel="0" collapsed="false">
      <c r="I288" s="7"/>
      <c r="J288" s="7"/>
      <c r="M288" s="8"/>
      <c r="N288" s="0" t="str">
        <f aca="false">IF(C288="","",IF(AND(ISNUMBER(FIND("@",C288)),ISNUMBER(FIND(".",C288,FIND("@",C288))),ISERROR(FIND(" ",C288))),"OK","INVALID"))</f>
        <v/>
      </c>
      <c r="O288" s="0" t="str">
        <f aca="false">IF(C288="","",IF(COUNTIF($C$2:$C$500,C288)&gt;1,"DUPLICATE","OK"))</f>
        <v/>
      </c>
    </row>
    <row r="289" customFormat="false" ht="15" hidden="false" customHeight="false" outlineLevel="0" collapsed="false">
      <c r="I289" s="7"/>
      <c r="J289" s="7"/>
      <c r="M289" s="8"/>
      <c r="N289" s="0" t="str">
        <f aca="false">IF(C289="","",IF(AND(ISNUMBER(FIND("@",C289)),ISNUMBER(FIND(".",C289,FIND("@",C289))),ISERROR(FIND(" ",C289))),"OK","INVALID"))</f>
        <v/>
      </c>
      <c r="O289" s="0" t="str">
        <f aca="false">IF(C289="","",IF(COUNTIF($C$2:$C$500,C289)&gt;1,"DUPLICATE","OK"))</f>
        <v/>
      </c>
    </row>
    <row r="290" customFormat="false" ht="15" hidden="false" customHeight="false" outlineLevel="0" collapsed="false">
      <c r="I290" s="7"/>
      <c r="J290" s="7"/>
      <c r="M290" s="8"/>
      <c r="N290" s="0" t="str">
        <f aca="false">IF(C290="","",IF(AND(ISNUMBER(FIND("@",C290)),ISNUMBER(FIND(".",C290,FIND("@",C290))),ISERROR(FIND(" ",C290))),"OK","INVALID"))</f>
        <v/>
      </c>
      <c r="O290" s="0" t="str">
        <f aca="false">IF(C290="","",IF(COUNTIF($C$2:$C$500,C290)&gt;1,"DUPLICATE","OK"))</f>
        <v/>
      </c>
    </row>
    <row r="291" customFormat="false" ht="15" hidden="false" customHeight="false" outlineLevel="0" collapsed="false">
      <c r="I291" s="7"/>
      <c r="J291" s="7"/>
      <c r="M291" s="8"/>
      <c r="N291" s="0" t="str">
        <f aca="false">IF(C291="","",IF(AND(ISNUMBER(FIND("@",C291)),ISNUMBER(FIND(".",C291,FIND("@",C291))),ISERROR(FIND(" ",C291))),"OK","INVALID"))</f>
        <v/>
      </c>
      <c r="O291" s="0" t="str">
        <f aca="false">IF(C291="","",IF(COUNTIF($C$2:$C$500,C291)&gt;1,"DUPLICATE","OK"))</f>
        <v/>
      </c>
    </row>
    <row r="292" customFormat="false" ht="15" hidden="false" customHeight="false" outlineLevel="0" collapsed="false">
      <c r="I292" s="7"/>
      <c r="J292" s="7"/>
      <c r="M292" s="8"/>
      <c r="N292" s="0" t="str">
        <f aca="false">IF(C292="","",IF(AND(ISNUMBER(FIND("@",C292)),ISNUMBER(FIND(".",C292,FIND("@",C292))),ISERROR(FIND(" ",C292))),"OK","INVALID"))</f>
        <v/>
      </c>
      <c r="O292" s="0" t="str">
        <f aca="false">IF(C292="","",IF(COUNTIF($C$2:$C$500,C292)&gt;1,"DUPLICATE","OK"))</f>
        <v/>
      </c>
    </row>
    <row r="293" customFormat="false" ht="15" hidden="false" customHeight="false" outlineLevel="0" collapsed="false">
      <c r="I293" s="7"/>
      <c r="J293" s="7"/>
      <c r="M293" s="8"/>
      <c r="N293" s="0" t="str">
        <f aca="false">IF(C293="","",IF(AND(ISNUMBER(FIND("@",C293)),ISNUMBER(FIND(".",C293,FIND("@",C293))),ISERROR(FIND(" ",C293))),"OK","INVALID"))</f>
        <v/>
      </c>
      <c r="O293" s="0" t="str">
        <f aca="false">IF(C293="","",IF(COUNTIF($C$2:$C$500,C293)&gt;1,"DUPLICATE","OK"))</f>
        <v/>
      </c>
    </row>
    <row r="294" customFormat="false" ht="15" hidden="false" customHeight="false" outlineLevel="0" collapsed="false">
      <c r="I294" s="7"/>
      <c r="J294" s="7"/>
      <c r="M294" s="8"/>
      <c r="N294" s="0" t="str">
        <f aca="false">IF(C294="","",IF(AND(ISNUMBER(FIND("@",C294)),ISNUMBER(FIND(".",C294,FIND("@",C294))),ISERROR(FIND(" ",C294))),"OK","INVALID"))</f>
        <v/>
      </c>
      <c r="O294" s="0" t="str">
        <f aca="false">IF(C294="","",IF(COUNTIF($C$2:$C$500,C294)&gt;1,"DUPLICATE","OK"))</f>
        <v/>
      </c>
    </row>
    <row r="295" customFormat="false" ht="15" hidden="false" customHeight="false" outlineLevel="0" collapsed="false">
      <c r="I295" s="7"/>
      <c r="J295" s="7"/>
      <c r="M295" s="8"/>
      <c r="N295" s="0" t="str">
        <f aca="false">IF(C295="","",IF(AND(ISNUMBER(FIND("@",C295)),ISNUMBER(FIND(".",C295,FIND("@",C295))),ISERROR(FIND(" ",C295))),"OK","INVALID"))</f>
        <v/>
      </c>
      <c r="O295" s="0" t="str">
        <f aca="false">IF(C295="","",IF(COUNTIF($C$2:$C$500,C295)&gt;1,"DUPLICATE","OK"))</f>
        <v/>
      </c>
    </row>
    <row r="296" customFormat="false" ht="15" hidden="false" customHeight="false" outlineLevel="0" collapsed="false">
      <c r="I296" s="7"/>
      <c r="J296" s="7"/>
      <c r="M296" s="8"/>
      <c r="N296" s="0" t="str">
        <f aca="false">IF(C296="","",IF(AND(ISNUMBER(FIND("@",C296)),ISNUMBER(FIND(".",C296,FIND("@",C296))),ISERROR(FIND(" ",C296))),"OK","INVALID"))</f>
        <v/>
      </c>
      <c r="O296" s="0" t="str">
        <f aca="false">IF(C296="","",IF(COUNTIF($C$2:$C$500,C296)&gt;1,"DUPLICATE","OK"))</f>
        <v/>
      </c>
    </row>
    <row r="297" customFormat="false" ht="15" hidden="false" customHeight="false" outlineLevel="0" collapsed="false">
      <c r="I297" s="7"/>
      <c r="J297" s="7"/>
      <c r="M297" s="8"/>
      <c r="N297" s="0" t="str">
        <f aca="false">IF(C297="","",IF(AND(ISNUMBER(FIND("@",C297)),ISNUMBER(FIND(".",C297,FIND("@",C297))),ISERROR(FIND(" ",C297))),"OK","INVALID"))</f>
        <v/>
      </c>
      <c r="O297" s="0" t="str">
        <f aca="false">IF(C297="","",IF(COUNTIF($C$2:$C$500,C297)&gt;1,"DUPLICATE","OK"))</f>
        <v/>
      </c>
    </row>
    <row r="298" customFormat="false" ht="15" hidden="false" customHeight="false" outlineLevel="0" collapsed="false">
      <c r="I298" s="7"/>
      <c r="J298" s="7"/>
      <c r="M298" s="8"/>
      <c r="N298" s="0" t="str">
        <f aca="false">IF(C298="","",IF(AND(ISNUMBER(FIND("@",C298)),ISNUMBER(FIND(".",C298,FIND("@",C298))),ISERROR(FIND(" ",C298))),"OK","INVALID"))</f>
        <v/>
      </c>
      <c r="O298" s="0" t="str">
        <f aca="false">IF(C298="","",IF(COUNTIF($C$2:$C$500,C298)&gt;1,"DUPLICATE","OK"))</f>
        <v/>
      </c>
    </row>
    <row r="299" customFormat="false" ht="15" hidden="false" customHeight="false" outlineLevel="0" collapsed="false">
      <c r="I299" s="7"/>
      <c r="J299" s="7"/>
      <c r="M299" s="8"/>
      <c r="N299" s="0" t="str">
        <f aca="false">IF(C299="","",IF(AND(ISNUMBER(FIND("@",C299)),ISNUMBER(FIND(".",C299,FIND("@",C299))),ISERROR(FIND(" ",C299))),"OK","INVALID"))</f>
        <v/>
      </c>
      <c r="O299" s="0" t="str">
        <f aca="false">IF(C299="","",IF(COUNTIF($C$2:$C$500,C299)&gt;1,"DUPLICATE","OK"))</f>
        <v/>
      </c>
    </row>
    <row r="300" customFormat="false" ht="15" hidden="false" customHeight="false" outlineLevel="0" collapsed="false">
      <c r="I300" s="7"/>
      <c r="J300" s="7"/>
      <c r="M300" s="8"/>
      <c r="N300" s="0" t="str">
        <f aca="false">IF(C300="","",IF(AND(ISNUMBER(FIND("@",C300)),ISNUMBER(FIND(".",C300,FIND("@",C300))),ISERROR(FIND(" ",C300))),"OK","INVALID"))</f>
        <v/>
      </c>
      <c r="O300" s="0" t="str">
        <f aca="false">IF(C300="","",IF(COUNTIF($C$2:$C$500,C300)&gt;1,"DUPLICATE","OK"))</f>
        <v/>
      </c>
    </row>
    <row r="301" customFormat="false" ht="15" hidden="false" customHeight="false" outlineLevel="0" collapsed="false">
      <c r="I301" s="7"/>
      <c r="J301" s="7"/>
      <c r="M301" s="8"/>
      <c r="N301" s="0" t="str">
        <f aca="false">IF(C301="","",IF(AND(ISNUMBER(FIND("@",C301)),ISNUMBER(FIND(".",C301,FIND("@",C301))),ISERROR(FIND(" ",C301))),"OK","INVALID"))</f>
        <v/>
      </c>
      <c r="O301" s="0" t="str">
        <f aca="false">IF(C301="","",IF(COUNTIF($C$2:$C$500,C301)&gt;1,"DUPLICATE","OK"))</f>
        <v/>
      </c>
    </row>
    <row r="302" customFormat="false" ht="15" hidden="false" customHeight="false" outlineLevel="0" collapsed="false">
      <c r="I302" s="7"/>
      <c r="J302" s="7"/>
      <c r="M302" s="8"/>
      <c r="N302" s="0" t="str">
        <f aca="false">IF(C302="","",IF(AND(ISNUMBER(FIND("@",C302)),ISNUMBER(FIND(".",C302,FIND("@",C302))),ISERROR(FIND(" ",C302))),"OK","INVALID"))</f>
        <v/>
      </c>
      <c r="O302" s="0" t="str">
        <f aca="false">IF(C302="","",IF(COUNTIF($C$2:$C$500,C302)&gt;1,"DUPLICATE","OK"))</f>
        <v/>
      </c>
    </row>
    <row r="303" customFormat="false" ht="15" hidden="false" customHeight="false" outlineLevel="0" collapsed="false">
      <c r="I303" s="7"/>
      <c r="J303" s="7"/>
      <c r="M303" s="8"/>
      <c r="N303" s="0" t="str">
        <f aca="false">IF(C303="","",IF(AND(ISNUMBER(FIND("@",C303)),ISNUMBER(FIND(".",C303,FIND("@",C303))),ISERROR(FIND(" ",C303))),"OK","INVALID"))</f>
        <v/>
      </c>
      <c r="O303" s="0" t="str">
        <f aca="false">IF(C303="","",IF(COUNTIF($C$2:$C$500,C303)&gt;1,"DUPLICATE","OK"))</f>
        <v/>
      </c>
    </row>
    <row r="304" customFormat="false" ht="15" hidden="false" customHeight="false" outlineLevel="0" collapsed="false">
      <c r="I304" s="7"/>
      <c r="J304" s="7"/>
      <c r="M304" s="8"/>
      <c r="N304" s="0" t="str">
        <f aca="false">IF(C304="","",IF(AND(ISNUMBER(FIND("@",C304)),ISNUMBER(FIND(".",C304,FIND("@",C304))),ISERROR(FIND(" ",C304))),"OK","INVALID"))</f>
        <v/>
      </c>
      <c r="O304" s="0" t="str">
        <f aca="false">IF(C304="","",IF(COUNTIF($C$2:$C$500,C304)&gt;1,"DUPLICATE","OK"))</f>
        <v/>
      </c>
    </row>
    <row r="305" customFormat="false" ht="15" hidden="false" customHeight="false" outlineLevel="0" collapsed="false">
      <c r="I305" s="7"/>
      <c r="J305" s="7"/>
      <c r="M305" s="8"/>
      <c r="N305" s="0" t="str">
        <f aca="false">IF(C305="","",IF(AND(ISNUMBER(FIND("@",C305)),ISNUMBER(FIND(".",C305,FIND("@",C305))),ISERROR(FIND(" ",C305))),"OK","INVALID"))</f>
        <v/>
      </c>
      <c r="O305" s="0" t="str">
        <f aca="false">IF(C305="","",IF(COUNTIF($C$2:$C$500,C305)&gt;1,"DUPLICATE","OK"))</f>
        <v/>
      </c>
    </row>
    <row r="306" customFormat="false" ht="15" hidden="false" customHeight="false" outlineLevel="0" collapsed="false">
      <c r="I306" s="7"/>
      <c r="J306" s="7"/>
      <c r="M306" s="8"/>
      <c r="N306" s="0" t="str">
        <f aca="false">IF(C306="","",IF(AND(ISNUMBER(FIND("@",C306)),ISNUMBER(FIND(".",C306,FIND("@",C306))),ISERROR(FIND(" ",C306))),"OK","INVALID"))</f>
        <v/>
      </c>
      <c r="O306" s="0" t="str">
        <f aca="false">IF(C306="","",IF(COUNTIF($C$2:$C$500,C306)&gt;1,"DUPLICATE","OK"))</f>
        <v/>
      </c>
    </row>
    <row r="307" customFormat="false" ht="15" hidden="false" customHeight="false" outlineLevel="0" collapsed="false">
      <c r="I307" s="7"/>
      <c r="J307" s="7"/>
      <c r="M307" s="8"/>
      <c r="N307" s="0" t="str">
        <f aca="false">IF(C307="","",IF(AND(ISNUMBER(FIND("@",C307)),ISNUMBER(FIND(".",C307,FIND("@",C307))),ISERROR(FIND(" ",C307))),"OK","INVALID"))</f>
        <v/>
      </c>
      <c r="O307" s="0" t="str">
        <f aca="false">IF(C307="","",IF(COUNTIF($C$2:$C$500,C307)&gt;1,"DUPLICATE","OK"))</f>
        <v/>
      </c>
    </row>
    <row r="308" customFormat="false" ht="15" hidden="false" customHeight="false" outlineLevel="0" collapsed="false">
      <c r="I308" s="7"/>
      <c r="J308" s="7"/>
      <c r="M308" s="8"/>
      <c r="N308" s="0" t="str">
        <f aca="false">IF(C308="","",IF(AND(ISNUMBER(FIND("@",C308)),ISNUMBER(FIND(".",C308,FIND("@",C308))),ISERROR(FIND(" ",C308))),"OK","INVALID"))</f>
        <v/>
      </c>
      <c r="O308" s="0" t="str">
        <f aca="false">IF(C308="","",IF(COUNTIF($C$2:$C$500,C308)&gt;1,"DUPLICATE","OK"))</f>
        <v/>
      </c>
    </row>
    <row r="309" customFormat="false" ht="15" hidden="false" customHeight="false" outlineLevel="0" collapsed="false">
      <c r="I309" s="7"/>
      <c r="J309" s="7"/>
      <c r="M309" s="8"/>
      <c r="N309" s="0" t="str">
        <f aca="false">IF(C309="","",IF(AND(ISNUMBER(FIND("@",C309)),ISNUMBER(FIND(".",C309,FIND("@",C309))),ISERROR(FIND(" ",C309))),"OK","INVALID"))</f>
        <v/>
      </c>
      <c r="O309" s="0" t="str">
        <f aca="false">IF(C309="","",IF(COUNTIF($C$2:$C$500,C309)&gt;1,"DUPLICATE","OK"))</f>
        <v/>
      </c>
    </row>
    <row r="310" customFormat="false" ht="15" hidden="false" customHeight="false" outlineLevel="0" collapsed="false">
      <c r="I310" s="7"/>
      <c r="J310" s="7"/>
      <c r="M310" s="8"/>
      <c r="N310" s="0" t="str">
        <f aca="false">IF(C310="","",IF(AND(ISNUMBER(FIND("@",C310)),ISNUMBER(FIND(".",C310,FIND("@",C310))),ISERROR(FIND(" ",C310))),"OK","INVALID"))</f>
        <v/>
      </c>
      <c r="O310" s="0" t="str">
        <f aca="false">IF(C310="","",IF(COUNTIF($C$2:$C$500,C310)&gt;1,"DUPLICATE","OK"))</f>
        <v/>
      </c>
    </row>
    <row r="311" customFormat="false" ht="15" hidden="false" customHeight="false" outlineLevel="0" collapsed="false">
      <c r="I311" s="7"/>
      <c r="J311" s="7"/>
      <c r="M311" s="8"/>
      <c r="N311" s="0" t="str">
        <f aca="false">IF(C311="","",IF(AND(ISNUMBER(FIND("@",C311)),ISNUMBER(FIND(".",C311,FIND("@",C311))),ISERROR(FIND(" ",C311))),"OK","INVALID"))</f>
        <v/>
      </c>
      <c r="O311" s="0" t="str">
        <f aca="false">IF(C311="","",IF(COUNTIF($C$2:$C$500,C311)&gt;1,"DUPLICATE","OK"))</f>
        <v/>
      </c>
    </row>
    <row r="312" customFormat="false" ht="15" hidden="false" customHeight="false" outlineLevel="0" collapsed="false">
      <c r="I312" s="7"/>
      <c r="J312" s="7"/>
      <c r="M312" s="8"/>
      <c r="N312" s="0" t="str">
        <f aca="false">IF(C312="","",IF(AND(ISNUMBER(FIND("@",C312)),ISNUMBER(FIND(".",C312,FIND("@",C312))),ISERROR(FIND(" ",C312))),"OK","INVALID"))</f>
        <v/>
      </c>
      <c r="O312" s="0" t="str">
        <f aca="false">IF(C312="","",IF(COUNTIF($C$2:$C$500,C312)&gt;1,"DUPLICATE","OK"))</f>
        <v/>
      </c>
    </row>
    <row r="313" customFormat="false" ht="15" hidden="false" customHeight="false" outlineLevel="0" collapsed="false">
      <c r="I313" s="7"/>
      <c r="J313" s="7"/>
      <c r="M313" s="8"/>
      <c r="N313" s="0" t="str">
        <f aca="false">IF(C313="","",IF(AND(ISNUMBER(FIND("@",C313)),ISNUMBER(FIND(".",C313,FIND("@",C313))),ISERROR(FIND(" ",C313))),"OK","INVALID"))</f>
        <v/>
      </c>
      <c r="O313" s="0" t="str">
        <f aca="false">IF(C313="","",IF(COUNTIF($C$2:$C$500,C313)&gt;1,"DUPLICATE","OK"))</f>
        <v/>
      </c>
    </row>
    <row r="314" customFormat="false" ht="15" hidden="false" customHeight="false" outlineLevel="0" collapsed="false">
      <c r="I314" s="7"/>
      <c r="J314" s="7"/>
      <c r="M314" s="8"/>
      <c r="N314" s="0" t="str">
        <f aca="false">IF(C314="","",IF(AND(ISNUMBER(FIND("@",C314)),ISNUMBER(FIND(".",C314,FIND("@",C314))),ISERROR(FIND(" ",C314))),"OK","INVALID"))</f>
        <v/>
      </c>
      <c r="O314" s="0" t="str">
        <f aca="false">IF(C314="","",IF(COUNTIF($C$2:$C$500,C314)&gt;1,"DUPLICATE","OK"))</f>
        <v/>
      </c>
    </row>
    <row r="315" customFormat="false" ht="15" hidden="false" customHeight="false" outlineLevel="0" collapsed="false">
      <c r="I315" s="7"/>
      <c r="J315" s="7"/>
      <c r="M315" s="8"/>
      <c r="N315" s="0" t="str">
        <f aca="false">IF(C315="","",IF(AND(ISNUMBER(FIND("@",C315)),ISNUMBER(FIND(".",C315,FIND("@",C315))),ISERROR(FIND(" ",C315))),"OK","INVALID"))</f>
        <v/>
      </c>
      <c r="O315" s="0" t="str">
        <f aca="false">IF(C315="","",IF(COUNTIF($C$2:$C$500,C315)&gt;1,"DUPLICATE","OK"))</f>
        <v/>
      </c>
    </row>
    <row r="316" customFormat="false" ht="15" hidden="false" customHeight="false" outlineLevel="0" collapsed="false">
      <c r="I316" s="7"/>
      <c r="J316" s="7"/>
      <c r="M316" s="8"/>
      <c r="N316" s="0" t="str">
        <f aca="false">IF(C316="","",IF(AND(ISNUMBER(FIND("@",C316)),ISNUMBER(FIND(".",C316,FIND("@",C316))),ISERROR(FIND(" ",C316))),"OK","INVALID"))</f>
        <v/>
      </c>
      <c r="O316" s="0" t="str">
        <f aca="false">IF(C316="","",IF(COUNTIF($C$2:$C$500,C316)&gt;1,"DUPLICATE","OK"))</f>
        <v/>
      </c>
    </row>
    <row r="317" customFormat="false" ht="15" hidden="false" customHeight="false" outlineLevel="0" collapsed="false">
      <c r="I317" s="7"/>
      <c r="J317" s="7"/>
      <c r="M317" s="8"/>
      <c r="N317" s="0" t="str">
        <f aca="false">IF(C317="","",IF(AND(ISNUMBER(FIND("@",C317)),ISNUMBER(FIND(".",C317,FIND("@",C317))),ISERROR(FIND(" ",C317))),"OK","INVALID"))</f>
        <v/>
      </c>
      <c r="O317" s="0" t="str">
        <f aca="false">IF(C317="","",IF(COUNTIF($C$2:$C$500,C317)&gt;1,"DUPLICATE","OK"))</f>
        <v/>
      </c>
    </row>
    <row r="318" customFormat="false" ht="15" hidden="false" customHeight="false" outlineLevel="0" collapsed="false">
      <c r="I318" s="7"/>
      <c r="J318" s="7"/>
      <c r="M318" s="8"/>
      <c r="N318" s="0" t="str">
        <f aca="false">IF(C318="","",IF(AND(ISNUMBER(FIND("@",C318)),ISNUMBER(FIND(".",C318,FIND("@",C318))),ISERROR(FIND(" ",C318))),"OK","INVALID"))</f>
        <v/>
      </c>
      <c r="O318" s="0" t="str">
        <f aca="false">IF(C318="","",IF(COUNTIF($C$2:$C$500,C318)&gt;1,"DUPLICATE","OK"))</f>
        <v/>
      </c>
    </row>
    <row r="319" customFormat="false" ht="15" hidden="false" customHeight="false" outlineLevel="0" collapsed="false">
      <c r="I319" s="7"/>
      <c r="J319" s="7"/>
      <c r="M319" s="8"/>
      <c r="N319" s="0" t="str">
        <f aca="false">IF(C319="","",IF(AND(ISNUMBER(FIND("@",C319)),ISNUMBER(FIND(".",C319,FIND("@",C319))),ISERROR(FIND(" ",C319))),"OK","INVALID"))</f>
        <v/>
      </c>
      <c r="O319" s="0" t="str">
        <f aca="false">IF(C319="","",IF(COUNTIF($C$2:$C$500,C319)&gt;1,"DUPLICATE","OK"))</f>
        <v/>
      </c>
    </row>
    <row r="320" customFormat="false" ht="15" hidden="false" customHeight="false" outlineLevel="0" collapsed="false">
      <c r="I320" s="7"/>
      <c r="J320" s="7"/>
      <c r="M320" s="8"/>
      <c r="N320" s="0" t="str">
        <f aca="false">IF(C320="","",IF(AND(ISNUMBER(FIND("@",C320)),ISNUMBER(FIND(".",C320,FIND("@",C320))),ISERROR(FIND(" ",C320))),"OK","INVALID"))</f>
        <v/>
      </c>
      <c r="O320" s="0" t="str">
        <f aca="false">IF(C320="","",IF(COUNTIF($C$2:$C$500,C320)&gt;1,"DUPLICATE","OK"))</f>
        <v/>
      </c>
    </row>
    <row r="321" customFormat="false" ht="15" hidden="false" customHeight="false" outlineLevel="0" collapsed="false">
      <c r="I321" s="7"/>
      <c r="J321" s="7"/>
      <c r="M321" s="8"/>
      <c r="N321" s="0" t="str">
        <f aca="false">IF(C321="","",IF(AND(ISNUMBER(FIND("@",C321)),ISNUMBER(FIND(".",C321,FIND("@",C321))),ISERROR(FIND(" ",C321))),"OK","INVALID"))</f>
        <v/>
      </c>
      <c r="O321" s="0" t="str">
        <f aca="false">IF(C321="","",IF(COUNTIF($C$2:$C$500,C321)&gt;1,"DUPLICATE","OK"))</f>
        <v/>
      </c>
    </row>
    <row r="322" customFormat="false" ht="15" hidden="false" customHeight="false" outlineLevel="0" collapsed="false">
      <c r="I322" s="7"/>
      <c r="J322" s="7"/>
      <c r="M322" s="8"/>
      <c r="N322" s="0" t="str">
        <f aca="false">IF(C322="","",IF(AND(ISNUMBER(FIND("@",C322)),ISNUMBER(FIND(".",C322,FIND("@",C322))),ISERROR(FIND(" ",C322))),"OK","INVALID"))</f>
        <v/>
      </c>
      <c r="O322" s="0" t="str">
        <f aca="false">IF(C322="","",IF(COUNTIF($C$2:$C$500,C322)&gt;1,"DUPLICATE","OK"))</f>
        <v/>
      </c>
    </row>
    <row r="323" customFormat="false" ht="15" hidden="false" customHeight="false" outlineLevel="0" collapsed="false">
      <c r="I323" s="7"/>
      <c r="J323" s="7"/>
      <c r="M323" s="8"/>
      <c r="N323" s="0" t="str">
        <f aca="false">IF(C323="","",IF(AND(ISNUMBER(FIND("@",C323)),ISNUMBER(FIND(".",C323,FIND("@",C323))),ISERROR(FIND(" ",C323))),"OK","INVALID"))</f>
        <v/>
      </c>
      <c r="O323" s="0" t="str">
        <f aca="false">IF(C323="","",IF(COUNTIF($C$2:$C$500,C323)&gt;1,"DUPLICATE","OK"))</f>
        <v/>
      </c>
    </row>
    <row r="324" customFormat="false" ht="15" hidden="false" customHeight="false" outlineLevel="0" collapsed="false">
      <c r="I324" s="7"/>
      <c r="J324" s="7"/>
      <c r="M324" s="8"/>
      <c r="N324" s="0" t="str">
        <f aca="false">IF(C324="","",IF(AND(ISNUMBER(FIND("@",C324)),ISNUMBER(FIND(".",C324,FIND("@",C324))),ISERROR(FIND(" ",C324))),"OK","INVALID"))</f>
        <v/>
      </c>
      <c r="O324" s="0" t="str">
        <f aca="false">IF(C324="","",IF(COUNTIF($C$2:$C$500,C324)&gt;1,"DUPLICATE","OK"))</f>
        <v/>
      </c>
    </row>
    <row r="325" customFormat="false" ht="15" hidden="false" customHeight="false" outlineLevel="0" collapsed="false">
      <c r="I325" s="7"/>
      <c r="J325" s="7"/>
      <c r="M325" s="8"/>
      <c r="N325" s="0" t="str">
        <f aca="false">IF(C325="","",IF(AND(ISNUMBER(FIND("@",C325)),ISNUMBER(FIND(".",C325,FIND("@",C325))),ISERROR(FIND(" ",C325))),"OK","INVALID"))</f>
        <v/>
      </c>
      <c r="O325" s="0" t="str">
        <f aca="false">IF(C325="","",IF(COUNTIF($C$2:$C$500,C325)&gt;1,"DUPLICATE","OK"))</f>
        <v/>
      </c>
    </row>
    <row r="326" customFormat="false" ht="15" hidden="false" customHeight="false" outlineLevel="0" collapsed="false">
      <c r="I326" s="7"/>
      <c r="J326" s="7"/>
      <c r="M326" s="8"/>
      <c r="N326" s="0" t="str">
        <f aca="false">IF(C326="","",IF(AND(ISNUMBER(FIND("@",C326)),ISNUMBER(FIND(".",C326,FIND("@",C326))),ISERROR(FIND(" ",C326))),"OK","INVALID"))</f>
        <v/>
      </c>
      <c r="O326" s="0" t="str">
        <f aca="false">IF(C326="","",IF(COUNTIF($C$2:$C$500,C326)&gt;1,"DUPLICATE","OK"))</f>
        <v/>
      </c>
    </row>
    <row r="327" customFormat="false" ht="15" hidden="false" customHeight="false" outlineLevel="0" collapsed="false">
      <c r="I327" s="7"/>
      <c r="J327" s="7"/>
      <c r="M327" s="8"/>
      <c r="N327" s="0" t="str">
        <f aca="false">IF(C327="","",IF(AND(ISNUMBER(FIND("@",C327)),ISNUMBER(FIND(".",C327,FIND("@",C327))),ISERROR(FIND(" ",C327))),"OK","INVALID"))</f>
        <v/>
      </c>
      <c r="O327" s="0" t="str">
        <f aca="false">IF(C327="","",IF(COUNTIF($C$2:$C$500,C327)&gt;1,"DUPLICATE","OK"))</f>
        <v/>
      </c>
    </row>
    <row r="328" customFormat="false" ht="15" hidden="false" customHeight="false" outlineLevel="0" collapsed="false">
      <c r="I328" s="7"/>
      <c r="J328" s="7"/>
      <c r="M328" s="8"/>
      <c r="N328" s="0" t="str">
        <f aca="false">IF(C328="","",IF(AND(ISNUMBER(FIND("@",C328)),ISNUMBER(FIND(".",C328,FIND("@",C328))),ISERROR(FIND(" ",C328))),"OK","INVALID"))</f>
        <v/>
      </c>
      <c r="O328" s="0" t="str">
        <f aca="false">IF(C328="","",IF(COUNTIF($C$2:$C$500,C328)&gt;1,"DUPLICATE","OK"))</f>
        <v/>
      </c>
    </row>
    <row r="329" customFormat="false" ht="15" hidden="false" customHeight="false" outlineLevel="0" collapsed="false">
      <c r="I329" s="7"/>
      <c r="J329" s="7"/>
      <c r="M329" s="8"/>
      <c r="N329" s="0" t="str">
        <f aca="false">IF(C329="","",IF(AND(ISNUMBER(FIND("@",C329)),ISNUMBER(FIND(".",C329,FIND("@",C329))),ISERROR(FIND(" ",C329))),"OK","INVALID"))</f>
        <v/>
      </c>
      <c r="O329" s="0" t="str">
        <f aca="false">IF(C329="","",IF(COUNTIF($C$2:$C$500,C329)&gt;1,"DUPLICATE","OK"))</f>
        <v/>
      </c>
    </row>
    <row r="330" customFormat="false" ht="15" hidden="false" customHeight="false" outlineLevel="0" collapsed="false">
      <c r="I330" s="7"/>
      <c r="J330" s="7"/>
      <c r="M330" s="8"/>
      <c r="N330" s="0" t="str">
        <f aca="false">IF(C330="","",IF(AND(ISNUMBER(FIND("@",C330)),ISNUMBER(FIND(".",C330,FIND("@",C330))),ISERROR(FIND(" ",C330))),"OK","INVALID"))</f>
        <v/>
      </c>
      <c r="O330" s="0" t="str">
        <f aca="false">IF(C330="","",IF(COUNTIF($C$2:$C$500,C330)&gt;1,"DUPLICATE","OK"))</f>
        <v/>
      </c>
    </row>
    <row r="331" customFormat="false" ht="15" hidden="false" customHeight="false" outlineLevel="0" collapsed="false">
      <c r="I331" s="7"/>
      <c r="J331" s="7"/>
      <c r="M331" s="8"/>
      <c r="N331" s="0" t="str">
        <f aca="false">IF(C331="","",IF(AND(ISNUMBER(FIND("@",C331)),ISNUMBER(FIND(".",C331,FIND("@",C331))),ISERROR(FIND(" ",C331))),"OK","INVALID"))</f>
        <v/>
      </c>
      <c r="O331" s="0" t="str">
        <f aca="false">IF(C331="","",IF(COUNTIF($C$2:$C$500,C331)&gt;1,"DUPLICATE","OK"))</f>
        <v/>
      </c>
    </row>
    <row r="332" customFormat="false" ht="15" hidden="false" customHeight="false" outlineLevel="0" collapsed="false">
      <c r="I332" s="7"/>
      <c r="J332" s="7"/>
      <c r="M332" s="8"/>
      <c r="N332" s="0" t="str">
        <f aca="false">IF(C332="","",IF(AND(ISNUMBER(FIND("@",C332)),ISNUMBER(FIND(".",C332,FIND("@",C332))),ISERROR(FIND(" ",C332))),"OK","INVALID"))</f>
        <v/>
      </c>
      <c r="O332" s="0" t="str">
        <f aca="false">IF(C332="","",IF(COUNTIF($C$2:$C$500,C332)&gt;1,"DUPLICATE","OK"))</f>
        <v/>
      </c>
    </row>
    <row r="333" customFormat="false" ht="15" hidden="false" customHeight="false" outlineLevel="0" collapsed="false">
      <c r="I333" s="7"/>
      <c r="J333" s="7"/>
      <c r="M333" s="8"/>
      <c r="N333" s="0" t="str">
        <f aca="false">IF(C333="","",IF(AND(ISNUMBER(FIND("@",C333)),ISNUMBER(FIND(".",C333,FIND("@",C333))),ISERROR(FIND(" ",C333))),"OK","INVALID"))</f>
        <v/>
      </c>
      <c r="O333" s="0" t="str">
        <f aca="false">IF(C333="","",IF(COUNTIF($C$2:$C$500,C333)&gt;1,"DUPLICATE","OK"))</f>
        <v/>
      </c>
    </row>
    <row r="334" customFormat="false" ht="15" hidden="false" customHeight="false" outlineLevel="0" collapsed="false">
      <c r="I334" s="7"/>
      <c r="J334" s="7"/>
      <c r="M334" s="8"/>
      <c r="N334" s="0" t="str">
        <f aca="false">IF(C334="","",IF(AND(ISNUMBER(FIND("@",C334)),ISNUMBER(FIND(".",C334,FIND("@",C334))),ISERROR(FIND(" ",C334))),"OK","INVALID"))</f>
        <v/>
      </c>
      <c r="O334" s="0" t="str">
        <f aca="false">IF(C334="","",IF(COUNTIF($C$2:$C$500,C334)&gt;1,"DUPLICATE","OK"))</f>
        <v/>
      </c>
    </row>
    <row r="335" customFormat="false" ht="15" hidden="false" customHeight="false" outlineLevel="0" collapsed="false">
      <c r="I335" s="7"/>
      <c r="J335" s="7"/>
      <c r="M335" s="8"/>
      <c r="N335" s="0" t="str">
        <f aca="false">IF(C335="","",IF(AND(ISNUMBER(FIND("@",C335)),ISNUMBER(FIND(".",C335,FIND("@",C335))),ISERROR(FIND(" ",C335))),"OK","INVALID"))</f>
        <v/>
      </c>
      <c r="O335" s="0" t="str">
        <f aca="false">IF(C335="","",IF(COUNTIF($C$2:$C$500,C335)&gt;1,"DUPLICATE","OK"))</f>
        <v/>
      </c>
    </row>
    <row r="336" customFormat="false" ht="15" hidden="false" customHeight="false" outlineLevel="0" collapsed="false">
      <c r="I336" s="7"/>
      <c r="J336" s="7"/>
      <c r="M336" s="8"/>
      <c r="N336" s="0" t="str">
        <f aca="false">IF(C336="","",IF(AND(ISNUMBER(FIND("@",C336)),ISNUMBER(FIND(".",C336,FIND("@",C336))),ISERROR(FIND(" ",C336))),"OK","INVALID"))</f>
        <v/>
      </c>
      <c r="O336" s="0" t="str">
        <f aca="false">IF(C336="","",IF(COUNTIF($C$2:$C$500,C336)&gt;1,"DUPLICATE","OK"))</f>
        <v/>
      </c>
    </row>
    <row r="337" customFormat="false" ht="15" hidden="false" customHeight="false" outlineLevel="0" collapsed="false">
      <c r="I337" s="7"/>
      <c r="J337" s="7"/>
      <c r="M337" s="8"/>
      <c r="N337" s="0" t="str">
        <f aca="false">IF(C337="","",IF(AND(ISNUMBER(FIND("@",C337)),ISNUMBER(FIND(".",C337,FIND("@",C337))),ISERROR(FIND(" ",C337))),"OK","INVALID"))</f>
        <v/>
      </c>
      <c r="O337" s="0" t="str">
        <f aca="false">IF(C337="","",IF(COUNTIF($C$2:$C$500,C337)&gt;1,"DUPLICATE","OK"))</f>
        <v/>
      </c>
    </row>
    <row r="338" customFormat="false" ht="15" hidden="false" customHeight="false" outlineLevel="0" collapsed="false">
      <c r="I338" s="7"/>
      <c r="J338" s="7"/>
      <c r="M338" s="8"/>
      <c r="N338" s="0" t="str">
        <f aca="false">IF(C338="","",IF(AND(ISNUMBER(FIND("@",C338)),ISNUMBER(FIND(".",C338,FIND("@",C338))),ISERROR(FIND(" ",C338))),"OK","INVALID"))</f>
        <v/>
      </c>
      <c r="O338" s="0" t="str">
        <f aca="false">IF(C338="","",IF(COUNTIF($C$2:$C$500,C338)&gt;1,"DUPLICATE","OK"))</f>
        <v/>
      </c>
    </row>
    <row r="339" customFormat="false" ht="15" hidden="false" customHeight="false" outlineLevel="0" collapsed="false">
      <c r="I339" s="7"/>
      <c r="J339" s="7"/>
      <c r="M339" s="8"/>
      <c r="N339" s="0" t="str">
        <f aca="false">IF(C339="","",IF(AND(ISNUMBER(FIND("@",C339)),ISNUMBER(FIND(".",C339,FIND("@",C339))),ISERROR(FIND(" ",C339))),"OK","INVALID"))</f>
        <v/>
      </c>
      <c r="O339" s="0" t="str">
        <f aca="false">IF(C339="","",IF(COUNTIF($C$2:$C$500,C339)&gt;1,"DUPLICATE","OK"))</f>
        <v/>
      </c>
    </row>
    <row r="340" customFormat="false" ht="15" hidden="false" customHeight="false" outlineLevel="0" collapsed="false">
      <c r="I340" s="7"/>
      <c r="J340" s="7"/>
      <c r="M340" s="8"/>
      <c r="N340" s="0" t="str">
        <f aca="false">IF(C340="","",IF(AND(ISNUMBER(FIND("@",C340)),ISNUMBER(FIND(".",C340,FIND("@",C340))),ISERROR(FIND(" ",C340))),"OK","INVALID"))</f>
        <v/>
      </c>
      <c r="O340" s="0" t="str">
        <f aca="false">IF(C340="","",IF(COUNTIF($C$2:$C$500,C340)&gt;1,"DUPLICATE","OK"))</f>
        <v/>
      </c>
    </row>
    <row r="341" customFormat="false" ht="15" hidden="false" customHeight="false" outlineLevel="0" collapsed="false">
      <c r="I341" s="7"/>
      <c r="J341" s="7"/>
      <c r="M341" s="8"/>
      <c r="N341" s="0" t="str">
        <f aca="false">IF(C341="","",IF(AND(ISNUMBER(FIND("@",C341)),ISNUMBER(FIND(".",C341,FIND("@",C341))),ISERROR(FIND(" ",C341))),"OK","INVALID"))</f>
        <v/>
      </c>
      <c r="O341" s="0" t="str">
        <f aca="false">IF(C341="","",IF(COUNTIF($C$2:$C$500,C341)&gt;1,"DUPLICATE","OK"))</f>
        <v/>
      </c>
    </row>
    <row r="342" customFormat="false" ht="15" hidden="false" customHeight="false" outlineLevel="0" collapsed="false">
      <c r="I342" s="7"/>
      <c r="J342" s="7"/>
      <c r="M342" s="8"/>
      <c r="N342" s="0" t="str">
        <f aca="false">IF(C342="","",IF(AND(ISNUMBER(FIND("@",C342)),ISNUMBER(FIND(".",C342,FIND("@",C342))),ISERROR(FIND(" ",C342))),"OK","INVALID"))</f>
        <v/>
      </c>
      <c r="O342" s="0" t="str">
        <f aca="false">IF(C342="","",IF(COUNTIF($C$2:$C$500,C342)&gt;1,"DUPLICATE","OK"))</f>
        <v/>
      </c>
    </row>
    <row r="343" customFormat="false" ht="15" hidden="false" customHeight="false" outlineLevel="0" collapsed="false">
      <c r="I343" s="7"/>
      <c r="J343" s="7"/>
      <c r="M343" s="8"/>
      <c r="N343" s="0" t="str">
        <f aca="false">IF(C343="","",IF(AND(ISNUMBER(FIND("@",C343)),ISNUMBER(FIND(".",C343,FIND("@",C343))),ISERROR(FIND(" ",C343))),"OK","INVALID"))</f>
        <v/>
      </c>
      <c r="O343" s="0" t="str">
        <f aca="false">IF(C343="","",IF(COUNTIF($C$2:$C$500,C343)&gt;1,"DUPLICATE","OK"))</f>
        <v/>
      </c>
    </row>
    <row r="344" customFormat="false" ht="15" hidden="false" customHeight="false" outlineLevel="0" collapsed="false">
      <c r="I344" s="7"/>
      <c r="J344" s="7"/>
      <c r="M344" s="8"/>
      <c r="N344" s="0" t="str">
        <f aca="false">IF(C344="","",IF(AND(ISNUMBER(FIND("@",C344)),ISNUMBER(FIND(".",C344,FIND("@",C344))),ISERROR(FIND(" ",C344))),"OK","INVALID"))</f>
        <v/>
      </c>
      <c r="O344" s="0" t="str">
        <f aca="false">IF(C344="","",IF(COUNTIF($C$2:$C$500,C344)&gt;1,"DUPLICATE","OK"))</f>
        <v/>
      </c>
    </row>
    <row r="345" customFormat="false" ht="15" hidden="false" customHeight="false" outlineLevel="0" collapsed="false">
      <c r="I345" s="7"/>
      <c r="J345" s="7"/>
      <c r="M345" s="8"/>
      <c r="N345" s="0" t="str">
        <f aca="false">IF(C345="","",IF(AND(ISNUMBER(FIND("@",C345)),ISNUMBER(FIND(".",C345,FIND("@",C345))),ISERROR(FIND(" ",C345))),"OK","INVALID"))</f>
        <v/>
      </c>
      <c r="O345" s="0" t="str">
        <f aca="false">IF(C345="","",IF(COUNTIF($C$2:$C$500,C345)&gt;1,"DUPLICATE","OK"))</f>
        <v/>
      </c>
    </row>
    <row r="346" customFormat="false" ht="15" hidden="false" customHeight="false" outlineLevel="0" collapsed="false">
      <c r="I346" s="7"/>
      <c r="J346" s="7"/>
      <c r="M346" s="8"/>
      <c r="N346" s="0" t="str">
        <f aca="false">IF(C346="","",IF(AND(ISNUMBER(FIND("@",C346)),ISNUMBER(FIND(".",C346,FIND("@",C346))),ISERROR(FIND(" ",C346))),"OK","INVALID"))</f>
        <v/>
      </c>
      <c r="O346" s="0" t="str">
        <f aca="false">IF(C346="","",IF(COUNTIF($C$2:$C$500,C346)&gt;1,"DUPLICATE","OK"))</f>
        <v/>
      </c>
    </row>
    <row r="347" customFormat="false" ht="15" hidden="false" customHeight="false" outlineLevel="0" collapsed="false">
      <c r="I347" s="7"/>
      <c r="J347" s="7"/>
      <c r="M347" s="8"/>
      <c r="N347" s="0" t="str">
        <f aca="false">IF(C347="","",IF(AND(ISNUMBER(FIND("@",C347)),ISNUMBER(FIND(".",C347,FIND("@",C347))),ISERROR(FIND(" ",C347))),"OK","INVALID"))</f>
        <v/>
      </c>
      <c r="O347" s="0" t="str">
        <f aca="false">IF(C347="","",IF(COUNTIF($C$2:$C$500,C347)&gt;1,"DUPLICATE","OK"))</f>
        <v/>
      </c>
    </row>
    <row r="348" customFormat="false" ht="15" hidden="false" customHeight="false" outlineLevel="0" collapsed="false">
      <c r="I348" s="7"/>
      <c r="J348" s="7"/>
      <c r="M348" s="8"/>
      <c r="N348" s="0" t="str">
        <f aca="false">IF(C348="","",IF(AND(ISNUMBER(FIND("@",C348)),ISNUMBER(FIND(".",C348,FIND("@",C348))),ISERROR(FIND(" ",C348))),"OK","INVALID"))</f>
        <v/>
      </c>
      <c r="O348" s="0" t="str">
        <f aca="false">IF(C348="","",IF(COUNTIF($C$2:$C$500,C348)&gt;1,"DUPLICATE","OK"))</f>
        <v/>
      </c>
    </row>
    <row r="349" customFormat="false" ht="15" hidden="false" customHeight="false" outlineLevel="0" collapsed="false">
      <c r="I349" s="7"/>
      <c r="J349" s="7"/>
      <c r="M349" s="8"/>
      <c r="N349" s="0" t="str">
        <f aca="false">IF(C349="","",IF(AND(ISNUMBER(FIND("@",C349)),ISNUMBER(FIND(".",C349,FIND("@",C349))),ISERROR(FIND(" ",C349))),"OK","INVALID"))</f>
        <v/>
      </c>
      <c r="O349" s="0" t="str">
        <f aca="false">IF(C349="","",IF(COUNTIF($C$2:$C$500,C349)&gt;1,"DUPLICATE","OK"))</f>
        <v/>
      </c>
    </row>
    <row r="350" customFormat="false" ht="15" hidden="false" customHeight="false" outlineLevel="0" collapsed="false">
      <c r="I350" s="7"/>
      <c r="J350" s="7"/>
      <c r="M350" s="8"/>
      <c r="N350" s="0" t="str">
        <f aca="false">IF(C350="","",IF(AND(ISNUMBER(FIND("@",C350)),ISNUMBER(FIND(".",C350,FIND("@",C350))),ISERROR(FIND(" ",C350))),"OK","INVALID"))</f>
        <v/>
      </c>
      <c r="O350" s="0" t="str">
        <f aca="false">IF(C350="","",IF(COUNTIF($C$2:$C$500,C350)&gt;1,"DUPLICATE","OK"))</f>
        <v/>
      </c>
    </row>
    <row r="351" customFormat="false" ht="15" hidden="false" customHeight="false" outlineLevel="0" collapsed="false">
      <c r="I351" s="7"/>
      <c r="J351" s="7"/>
      <c r="M351" s="8"/>
      <c r="N351" s="0" t="str">
        <f aca="false">IF(C351="","",IF(AND(ISNUMBER(FIND("@",C351)),ISNUMBER(FIND(".",C351,FIND("@",C351))),ISERROR(FIND(" ",C351))),"OK","INVALID"))</f>
        <v/>
      </c>
      <c r="O351" s="0" t="str">
        <f aca="false">IF(C351="","",IF(COUNTIF($C$2:$C$500,C351)&gt;1,"DUPLICATE","OK"))</f>
        <v/>
      </c>
    </row>
    <row r="352" customFormat="false" ht="15" hidden="false" customHeight="false" outlineLevel="0" collapsed="false">
      <c r="I352" s="7"/>
      <c r="J352" s="7"/>
      <c r="M352" s="8"/>
      <c r="N352" s="0" t="str">
        <f aca="false">IF(C352="","",IF(AND(ISNUMBER(FIND("@",C352)),ISNUMBER(FIND(".",C352,FIND("@",C352))),ISERROR(FIND(" ",C352))),"OK","INVALID"))</f>
        <v/>
      </c>
      <c r="O352" s="0" t="str">
        <f aca="false">IF(C352="","",IF(COUNTIF($C$2:$C$500,C352)&gt;1,"DUPLICATE","OK"))</f>
        <v/>
      </c>
    </row>
    <row r="353" customFormat="false" ht="15" hidden="false" customHeight="false" outlineLevel="0" collapsed="false">
      <c r="I353" s="7"/>
      <c r="J353" s="7"/>
      <c r="M353" s="8"/>
      <c r="N353" s="0" t="str">
        <f aca="false">IF(C353="","",IF(AND(ISNUMBER(FIND("@",C353)),ISNUMBER(FIND(".",C353,FIND("@",C353))),ISERROR(FIND(" ",C353))),"OK","INVALID"))</f>
        <v/>
      </c>
      <c r="O353" s="0" t="str">
        <f aca="false">IF(C353="","",IF(COUNTIF($C$2:$C$500,C353)&gt;1,"DUPLICATE","OK"))</f>
        <v/>
      </c>
    </row>
    <row r="354" customFormat="false" ht="15" hidden="false" customHeight="false" outlineLevel="0" collapsed="false">
      <c r="I354" s="7"/>
      <c r="J354" s="7"/>
      <c r="M354" s="8"/>
      <c r="N354" s="0" t="str">
        <f aca="false">IF(C354="","",IF(AND(ISNUMBER(FIND("@",C354)),ISNUMBER(FIND(".",C354,FIND("@",C354))),ISERROR(FIND(" ",C354))),"OK","INVALID"))</f>
        <v/>
      </c>
      <c r="O354" s="0" t="str">
        <f aca="false">IF(C354="","",IF(COUNTIF($C$2:$C$500,C354)&gt;1,"DUPLICATE","OK"))</f>
        <v/>
      </c>
    </row>
    <row r="355" customFormat="false" ht="15" hidden="false" customHeight="false" outlineLevel="0" collapsed="false">
      <c r="I355" s="7"/>
      <c r="J355" s="7"/>
      <c r="M355" s="8"/>
      <c r="N355" s="0" t="str">
        <f aca="false">IF(C355="","",IF(AND(ISNUMBER(FIND("@",C355)),ISNUMBER(FIND(".",C355,FIND("@",C355))),ISERROR(FIND(" ",C355))),"OK","INVALID"))</f>
        <v/>
      </c>
      <c r="O355" s="0" t="str">
        <f aca="false">IF(C355="","",IF(COUNTIF($C$2:$C$500,C355)&gt;1,"DUPLICATE","OK"))</f>
        <v/>
      </c>
    </row>
    <row r="356" customFormat="false" ht="15" hidden="false" customHeight="false" outlineLevel="0" collapsed="false">
      <c r="I356" s="7"/>
      <c r="J356" s="7"/>
      <c r="M356" s="8"/>
      <c r="N356" s="0" t="str">
        <f aca="false">IF(C356="","",IF(AND(ISNUMBER(FIND("@",C356)),ISNUMBER(FIND(".",C356,FIND("@",C356))),ISERROR(FIND(" ",C356))),"OK","INVALID"))</f>
        <v/>
      </c>
      <c r="O356" s="0" t="str">
        <f aca="false">IF(C356="","",IF(COUNTIF($C$2:$C$500,C356)&gt;1,"DUPLICATE","OK"))</f>
        <v/>
      </c>
    </row>
    <row r="357" customFormat="false" ht="15" hidden="false" customHeight="false" outlineLevel="0" collapsed="false">
      <c r="I357" s="7"/>
      <c r="J357" s="7"/>
      <c r="M357" s="8"/>
      <c r="N357" s="0" t="str">
        <f aca="false">IF(C357="","",IF(AND(ISNUMBER(FIND("@",C357)),ISNUMBER(FIND(".",C357,FIND("@",C357))),ISERROR(FIND(" ",C357))),"OK","INVALID"))</f>
        <v/>
      </c>
      <c r="O357" s="0" t="str">
        <f aca="false">IF(C357="","",IF(COUNTIF($C$2:$C$500,C357)&gt;1,"DUPLICATE","OK"))</f>
        <v/>
      </c>
    </row>
    <row r="358" customFormat="false" ht="15" hidden="false" customHeight="false" outlineLevel="0" collapsed="false">
      <c r="I358" s="7"/>
      <c r="J358" s="7"/>
      <c r="M358" s="8"/>
      <c r="N358" s="0" t="str">
        <f aca="false">IF(C358="","",IF(AND(ISNUMBER(FIND("@",C358)),ISNUMBER(FIND(".",C358,FIND("@",C358))),ISERROR(FIND(" ",C358))),"OK","INVALID"))</f>
        <v/>
      </c>
      <c r="O358" s="0" t="str">
        <f aca="false">IF(C358="","",IF(COUNTIF($C$2:$C$500,C358)&gt;1,"DUPLICATE","OK"))</f>
        <v/>
      </c>
    </row>
    <row r="359" customFormat="false" ht="15" hidden="false" customHeight="false" outlineLevel="0" collapsed="false">
      <c r="I359" s="7"/>
      <c r="J359" s="7"/>
      <c r="M359" s="8"/>
      <c r="N359" s="0" t="str">
        <f aca="false">IF(C359="","",IF(AND(ISNUMBER(FIND("@",C359)),ISNUMBER(FIND(".",C359,FIND("@",C359))),ISERROR(FIND(" ",C359))),"OK","INVALID"))</f>
        <v/>
      </c>
      <c r="O359" s="0" t="str">
        <f aca="false">IF(C359="","",IF(COUNTIF($C$2:$C$500,C359)&gt;1,"DUPLICATE","OK"))</f>
        <v/>
      </c>
    </row>
    <row r="360" customFormat="false" ht="15" hidden="false" customHeight="false" outlineLevel="0" collapsed="false">
      <c r="I360" s="7"/>
      <c r="J360" s="7"/>
      <c r="M360" s="8"/>
      <c r="N360" s="0" t="str">
        <f aca="false">IF(C360="","",IF(AND(ISNUMBER(FIND("@",C360)),ISNUMBER(FIND(".",C360,FIND("@",C360))),ISERROR(FIND(" ",C360))),"OK","INVALID"))</f>
        <v/>
      </c>
      <c r="O360" s="0" t="str">
        <f aca="false">IF(C360="","",IF(COUNTIF($C$2:$C$500,C360)&gt;1,"DUPLICATE","OK"))</f>
        <v/>
      </c>
    </row>
    <row r="361" customFormat="false" ht="15" hidden="false" customHeight="false" outlineLevel="0" collapsed="false">
      <c r="I361" s="7"/>
      <c r="J361" s="7"/>
      <c r="M361" s="8"/>
      <c r="N361" s="0" t="str">
        <f aca="false">IF(C361="","",IF(AND(ISNUMBER(FIND("@",C361)),ISNUMBER(FIND(".",C361,FIND("@",C361))),ISERROR(FIND(" ",C361))),"OK","INVALID"))</f>
        <v/>
      </c>
      <c r="O361" s="0" t="str">
        <f aca="false">IF(C361="","",IF(COUNTIF($C$2:$C$500,C361)&gt;1,"DUPLICATE","OK"))</f>
        <v/>
      </c>
    </row>
    <row r="362" customFormat="false" ht="15" hidden="false" customHeight="false" outlineLevel="0" collapsed="false">
      <c r="I362" s="7"/>
      <c r="J362" s="7"/>
      <c r="M362" s="8"/>
      <c r="N362" s="0" t="str">
        <f aca="false">IF(C362="","",IF(AND(ISNUMBER(FIND("@",C362)),ISNUMBER(FIND(".",C362,FIND("@",C362))),ISERROR(FIND(" ",C362))),"OK","INVALID"))</f>
        <v/>
      </c>
      <c r="O362" s="0" t="str">
        <f aca="false">IF(C362="","",IF(COUNTIF($C$2:$C$500,C362)&gt;1,"DUPLICATE","OK"))</f>
        <v/>
      </c>
    </row>
    <row r="363" customFormat="false" ht="15" hidden="false" customHeight="false" outlineLevel="0" collapsed="false">
      <c r="I363" s="7"/>
      <c r="J363" s="7"/>
      <c r="M363" s="8"/>
      <c r="N363" s="0" t="str">
        <f aca="false">IF(C363="","",IF(AND(ISNUMBER(FIND("@",C363)),ISNUMBER(FIND(".",C363,FIND("@",C363))),ISERROR(FIND(" ",C363))),"OK","INVALID"))</f>
        <v/>
      </c>
      <c r="O363" s="0" t="str">
        <f aca="false">IF(C363="","",IF(COUNTIF($C$2:$C$500,C363)&gt;1,"DUPLICATE","OK"))</f>
        <v/>
      </c>
    </row>
    <row r="364" customFormat="false" ht="15" hidden="false" customHeight="false" outlineLevel="0" collapsed="false">
      <c r="I364" s="7"/>
      <c r="J364" s="7"/>
      <c r="M364" s="8"/>
      <c r="N364" s="0" t="str">
        <f aca="false">IF(C364="","",IF(AND(ISNUMBER(FIND("@",C364)),ISNUMBER(FIND(".",C364,FIND("@",C364))),ISERROR(FIND(" ",C364))),"OK","INVALID"))</f>
        <v/>
      </c>
      <c r="O364" s="0" t="str">
        <f aca="false">IF(C364="","",IF(COUNTIF($C$2:$C$500,C364)&gt;1,"DUPLICATE","OK"))</f>
        <v/>
      </c>
    </row>
    <row r="365" customFormat="false" ht="15" hidden="false" customHeight="false" outlineLevel="0" collapsed="false">
      <c r="I365" s="7"/>
      <c r="J365" s="7"/>
      <c r="M365" s="8"/>
      <c r="N365" s="0" t="str">
        <f aca="false">IF(C365="","",IF(AND(ISNUMBER(FIND("@",C365)),ISNUMBER(FIND(".",C365,FIND("@",C365))),ISERROR(FIND(" ",C365))),"OK","INVALID"))</f>
        <v/>
      </c>
      <c r="O365" s="0" t="str">
        <f aca="false">IF(C365="","",IF(COUNTIF($C$2:$C$500,C365)&gt;1,"DUPLICATE","OK"))</f>
        <v/>
      </c>
    </row>
    <row r="366" customFormat="false" ht="15" hidden="false" customHeight="false" outlineLevel="0" collapsed="false">
      <c r="I366" s="7"/>
      <c r="J366" s="7"/>
      <c r="M366" s="8"/>
      <c r="N366" s="0" t="str">
        <f aca="false">IF(C366="","",IF(AND(ISNUMBER(FIND("@",C366)),ISNUMBER(FIND(".",C366,FIND("@",C366))),ISERROR(FIND(" ",C366))),"OK","INVALID"))</f>
        <v/>
      </c>
      <c r="O366" s="0" t="str">
        <f aca="false">IF(C366="","",IF(COUNTIF($C$2:$C$500,C366)&gt;1,"DUPLICATE","OK"))</f>
        <v/>
      </c>
    </row>
    <row r="367" customFormat="false" ht="15" hidden="false" customHeight="false" outlineLevel="0" collapsed="false">
      <c r="I367" s="7"/>
      <c r="J367" s="7"/>
      <c r="M367" s="8"/>
      <c r="N367" s="0" t="str">
        <f aca="false">IF(C367="","",IF(AND(ISNUMBER(FIND("@",C367)),ISNUMBER(FIND(".",C367,FIND("@",C367))),ISERROR(FIND(" ",C367))),"OK","INVALID"))</f>
        <v/>
      </c>
      <c r="O367" s="0" t="str">
        <f aca="false">IF(C367="","",IF(COUNTIF($C$2:$C$500,C367)&gt;1,"DUPLICATE","OK"))</f>
        <v/>
      </c>
    </row>
    <row r="368" customFormat="false" ht="15" hidden="false" customHeight="false" outlineLevel="0" collapsed="false">
      <c r="I368" s="7"/>
      <c r="J368" s="7"/>
      <c r="M368" s="8"/>
      <c r="N368" s="0" t="str">
        <f aca="false">IF(C368="","",IF(AND(ISNUMBER(FIND("@",C368)),ISNUMBER(FIND(".",C368,FIND("@",C368))),ISERROR(FIND(" ",C368))),"OK","INVALID"))</f>
        <v/>
      </c>
      <c r="O368" s="0" t="str">
        <f aca="false">IF(C368="","",IF(COUNTIF($C$2:$C$500,C368)&gt;1,"DUPLICATE","OK"))</f>
        <v/>
      </c>
    </row>
    <row r="369" customFormat="false" ht="15" hidden="false" customHeight="false" outlineLevel="0" collapsed="false">
      <c r="I369" s="7"/>
      <c r="J369" s="7"/>
      <c r="M369" s="8"/>
      <c r="N369" s="0" t="str">
        <f aca="false">IF(C369="","",IF(AND(ISNUMBER(FIND("@",C369)),ISNUMBER(FIND(".",C369,FIND("@",C369))),ISERROR(FIND(" ",C369))),"OK","INVALID"))</f>
        <v/>
      </c>
      <c r="O369" s="0" t="str">
        <f aca="false">IF(C369="","",IF(COUNTIF($C$2:$C$500,C369)&gt;1,"DUPLICATE","OK"))</f>
        <v/>
      </c>
    </row>
    <row r="370" customFormat="false" ht="15" hidden="false" customHeight="false" outlineLevel="0" collapsed="false">
      <c r="I370" s="7"/>
      <c r="J370" s="7"/>
      <c r="M370" s="8"/>
      <c r="N370" s="0" t="str">
        <f aca="false">IF(C370="","",IF(AND(ISNUMBER(FIND("@",C370)),ISNUMBER(FIND(".",C370,FIND("@",C370))),ISERROR(FIND(" ",C370))),"OK","INVALID"))</f>
        <v/>
      </c>
      <c r="O370" s="0" t="str">
        <f aca="false">IF(C370="","",IF(COUNTIF($C$2:$C$500,C370)&gt;1,"DUPLICATE","OK"))</f>
        <v/>
      </c>
    </row>
    <row r="371" customFormat="false" ht="15" hidden="false" customHeight="false" outlineLevel="0" collapsed="false">
      <c r="I371" s="7"/>
      <c r="J371" s="7"/>
      <c r="M371" s="8"/>
      <c r="N371" s="0" t="str">
        <f aca="false">IF(C371="","",IF(AND(ISNUMBER(FIND("@",C371)),ISNUMBER(FIND(".",C371,FIND("@",C371))),ISERROR(FIND(" ",C371))),"OK","INVALID"))</f>
        <v/>
      </c>
      <c r="O371" s="0" t="str">
        <f aca="false">IF(C371="","",IF(COUNTIF($C$2:$C$500,C371)&gt;1,"DUPLICATE","OK"))</f>
        <v/>
      </c>
    </row>
    <row r="372" customFormat="false" ht="15" hidden="false" customHeight="false" outlineLevel="0" collapsed="false">
      <c r="I372" s="7"/>
      <c r="J372" s="7"/>
      <c r="M372" s="8"/>
      <c r="N372" s="0" t="str">
        <f aca="false">IF(C372="","",IF(AND(ISNUMBER(FIND("@",C372)),ISNUMBER(FIND(".",C372,FIND("@",C372))),ISERROR(FIND(" ",C372))),"OK","INVALID"))</f>
        <v/>
      </c>
      <c r="O372" s="0" t="str">
        <f aca="false">IF(C372="","",IF(COUNTIF($C$2:$C$500,C372)&gt;1,"DUPLICATE","OK"))</f>
        <v/>
      </c>
    </row>
    <row r="373" customFormat="false" ht="15" hidden="false" customHeight="false" outlineLevel="0" collapsed="false">
      <c r="I373" s="7"/>
      <c r="J373" s="7"/>
      <c r="M373" s="8"/>
      <c r="N373" s="0" t="str">
        <f aca="false">IF(C373="","",IF(AND(ISNUMBER(FIND("@",C373)),ISNUMBER(FIND(".",C373,FIND("@",C373))),ISERROR(FIND(" ",C373))),"OK","INVALID"))</f>
        <v/>
      </c>
      <c r="O373" s="0" t="str">
        <f aca="false">IF(C373="","",IF(COUNTIF($C$2:$C$500,C373)&gt;1,"DUPLICATE","OK"))</f>
        <v/>
      </c>
    </row>
    <row r="374" customFormat="false" ht="15" hidden="false" customHeight="false" outlineLevel="0" collapsed="false">
      <c r="I374" s="7"/>
      <c r="J374" s="7"/>
      <c r="M374" s="8"/>
      <c r="N374" s="0" t="str">
        <f aca="false">IF(C374="","",IF(AND(ISNUMBER(FIND("@",C374)),ISNUMBER(FIND(".",C374,FIND("@",C374))),ISERROR(FIND(" ",C374))),"OK","INVALID"))</f>
        <v/>
      </c>
      <c r="O374" s="0" t="str">
        <f aca="false">IF(C374="","",IF(COUNTIF($C$2:$C$500,C374)&gt;1,"DUPLICATE","OK"))</f>
        <v/>
      </c>
    </row>
    <row r="375" customFormat="false" ht="15" hidden="false" customHeight="false" outlineLevel="0" collapsed="false">
      <c r="I375" s="7"/>
      <c r="J375" s="7"/>
      <c r="M375" s="8"/>
      <c r="N375" s="0" t="str">
        <f aca="false">IF(C375="","",IF(AND(ISNUMBER(FIND("@",C375)),ISNUMBER(FIND(".",C375,FIND("@",C375))),ISERROR(FIND(" ",C375))),"OK","INVALID"))</f>
        <v/>
      </c>
      <c r="O375" s="0" t="str">
        <f aca="false">IF(C375="","",IF(COUNTIF($C$2:$C$500,C375)&gt;1,"DUPLICATE","OK"))</f>
        <v/>
      </c>
    </row>
    <row r="376" customFormat="false" ht="15" hidden="false" customHeight="false" outlineLevel="0" collapsed="false">
      <c r="I376" s="7"/>
      <c r="J376" s="7"/>
      <c r="M376" s="8"/>
      <c r="N376" s="0" t="str">
        <f aca="false">IF(C376="","",IF(AND(ISNUMBER(FIND("@",C376)),ISNUMBER(FIND(".",C376,FIND("@",C376))),ISERROR(FIND(" ",C376))),"OK","INVALID"))</f>
        <v/>
      </c>
      <c r="O376" s="0" t="str">
        <f aca="false">IF(C376="","",IF(COUNTIF($C$2:$C$500,C376)&gt;1,"DUPLICATE","OK"))</f>
        <v/>
      </c>
    </row>
    <row r="377" customFormat="false" ht="15" hidden="false" customHeight="false" outlineLevel="0" collapsed="false">
      <c r="I377" s="7"/>
      <c r="J377" s="7"/>
      <c r="M377" s="8"/>
      <c r="N377" s="0" t="str">
        <f aca="false">IF(C377="","",IF(AND(ISNUMBER(FIND("@",C377)),ISNUMBER(FIND(".",C377,FIND("@",C377))),ISERROR(FIND(" ",C377))),"OK","INVALID"))</f>
        <v/>
      </c>
      <c r="O377" s="0" t="str">
        <f aca="false">IF(C377="","",IF(COUNTIF($C$2:$C$500,C377)&gt;1,"DUPLICATE","OK"))</f>
        <v/>
      </c>
    </row>
    <row r="378" customFormat="false" ht="15" hidden="false" customHeight="false" outlineLevel="0" collapsed="false">
      <c r="I378" s="7"/>
      <c r="J378" s="7"/>
      <c r="M378" s="8"/>
      <c r="N378" s="0" t="str">
        <f aca="false">IF(C378="","",IF(AND(ISNUMBER(FIND("@",C378)),ISNUMBER(FIND(".",C378,FIND("@",C378))),ISERROR(FIND(" ",C378))),"OK","INVALID"))</f>
        <v/>
      </c>
      <c r="O378" s="0" t="str">
        <f aca="false">IF(C378="","",IF(COUNTIF($C$2:$C$500,C378)&gt;1,"DUPLICATE","OK"))</f>
        <v/>
      </c>
    </row>
    <row r="379" customFormat="false" ht="15" hidden="false" customHeight="false" outlineLevel="0" collapsed="false">
      <c r="I379" s="7"/>
      <c r="J379" s="7"/>
      <c r="M379" s="8"/>
      <c r="N379" s="0" t="str">
        <f aca="false">IF(C379="","",IF(AND(ISNUMBER(FIND("@",C379)),ISNUMBER(FIND(".",C379,FIND("@",C379))),ISERROR(FIND(" ",C379))),"OK","INVALID"))</f>
        <v/>
      </c>
      <c r="O379" s="0" t="str">
        <f aca="false">IF(C379="","",IF(COUNTIF($C$2:$C$500,C379)&gt;1,"DUPLICATE","OK"))</f>
        <v/>
      </c>
    </row>
    <row r="380" customFormat="false" ht="15" hidden="false" customHeight="false" outlineLevel="0" collapsed="false">
      <c r="I380" s="7"/>
      <c r="J380" s="7"/>
      <c r="M380" s="8"/>
      <c r="N380" s="0" t="str">
        <f aca="false">IF(C380="","",IF(AND(ISNUMBER(FIND("@",C380)),ISNUMBER(FIND(".",C380,FIND("@",C380))),ISERROR(FIND(" ",C380))),"OK","INVALID"))</f>
        <v/>
      </c>
      <c r="O380" s="0" t="str">
        <f aca="false">IF(C380="","",IF(COUNTIF($C$2:$C$500,C380)&gt;1,"DUPLICATE","OK"))</f>
        <v/>
      </c>
    </row>
    <row r="381" customFormat="false" ht="15" hidden="false" customHeight="false" outlineLevel="0" collapsed="false">
      <c r="I381" s="7"/>
      <c r="J381" s="7"/>
      <c r="M381" s="8"/>
      <c r="N381" s="0" t="str">
        <f aca="false">IF(C381="","",IF(AND(ISNUMBER(FIND("@",C381)),ISNUMBER(FIND(".",C381,FIND("@",C381))),ISERROR(FIND(" ",C381))),"OK","INVALID"))</f>
        <v/>
      </c>
      <c r="O381" s="0" t="str">
        <f aca="false">IF(C381="","",IF(COUNTIF($C$2:$C$500,C381)&gt;1,"DUPLICATE","OK"))</f>
        <v/>
      </c>
    </row>
    <row r="382" customFormat="false" ht="15" hidden="false" customHeight="false" outlineLevel="0" collapsed="false">
      <c r="I382" s="7"/>
      <c r="J382" s="7"/>
      <c r="M382" s="8"/>
      <c r="N382" s="0" t="str">
        <f aca="false">IF(C382="","",IF(AND(ISNUMBER(FIND("@",C382)),ISNUMBER(FIND(".",C382,FIND("@",C382))),ISERROR(FIND(" ",C382))),"OK","INVALID"))</f>
        <v/>
      </c>
      <c r="O382" s="0" t="str">
        <f aca="false">IF(C382="","",IF(COUNTIF($C$2:$C$500,C382)&gt;1,"DUPLICATE","OK"))</f>
        <v/>
      </c>
    </row>
    <row r="383" customFormat="false" ht="15" hidden="false" customHeight="false" outlineLevel="0" collapsed="false">
      <c r="I383" s="7"/>
      <c r="J383" s="7"/>
      <c r="M383" s="8"/>
      <c r="N383" s="0" t="str">
        <f aca="false">IF(C383="","",IF(AND(ISNUMBER(FIND("@",C383)),ISNUMBER(FIND(".",C383,FIND("@",C383))),ISERROR(FIND(" ",C383))),"OK","INVALID"))</f>
        <v/>
      </c>
      <c r="O383" s="0" t="str">
        <f aca="false">IF(C383="","",IF(COUNTIF($C$2:$C$500,C383)&gt;1,"DUPLICATE","OK"))</f>
        <v/>
      </c>
    </row>
    <row r="384" customFormat="false" ht="15" hidden="false" customHeight="false" outlineLevel="0" collapsed="false">
      <c r="I384" s="7"/>
      <c r="J384" s="7"/>
      <c r="M384" s="8"/>
      <c r="N384" s="0" t="str">
        <f aca="false">IF(C384="","",IF(AND(ISNUMBER(FIND("@",C384)),ISNUMBER(FIND(".",C384,FIND("@",C384))),ISERROR(FIND(" ",C384))),"OK","INVALID"))</f>
        <v/>
      </c>
      <c r="O384" s="0" t="str">
        <f aca="false">IF(C384="","",IF(COUNTIF($C$2:$C$500,C384)&gt;1,"DUPLICATE","OK"))</f>
        <v/>
      </c>
    </row>
    <row r="385" customFormat="false" ht="15" hidden="false" customHeight="false" outlineLevel="0" collapsed="false">
      <c r="I385" s="7"/>
      <c r="J385" s="7"/>
      <c r="M385" s="8"/>
      <c r="N385" s="0" t="str">
        <f aca="false">IF(C385="","",IF(AND(ISNUMBER(FIND("@",C385)),ISNUMBER(FIND(".",C385,FIND("@",C385))),ISERROR(FIND(" ",C385))),"OK","INVALID"))</f>
        <v/>
      </c>
      <c r="O385" s="0" t="str">
        <f aca="false">IF(C385="","",IF(COUNTIF($C$2:$C$500,C385)&gt;1,"DUPLICATE","OK"))</f>
        <v/>
      </c>
    </row>
    <row r="386" customFormat="false" ht="15" hidden="false" customHeight="false" outlineLevel="0" collapsed="false">
      <c r="I386" s="7"/>
      <c r="J386" s="7"/>
      <c r="M386" s="8"/>
      <c r="N386" s="0" t="str">
        <f aca="false">IF(C386="","",IF(AND(ISNUMBER(FIND("@",C386)),ISNUMBER(FIND(".",C386,FIND("@",C386))),ISERROR(FIND(" ",C386))),"OK","INVALID"))</f>
        <v/>
      </c>
      <c r="O386" s="0" t="str">
        <f aca="false">IF(C386="","",IF(COUNTIF($C$2:$C$500,C386)&gt;1,"DUPLICATE","OK"))</f>
        <v/>
      </c>
    </row>
    <row r="387" customFormat="false" ht="15" hidden="false" customHeight="false" outlineLevel="0" collapsed="false">
      <c r="I387" s="7"/>
      <c r="J387" s="7"/>
      <c r="M387" s="8"/>
      <c r="N387" s="0" t="str">
        <f aca="false">IF(C387="","",IF(AND(ISNUMBER(FIND("@",C387)),ISNUMBER(FIND(".",C387,FIND("@",C387))),ISERROR(FIND(" ",C387))),"OK","INVALID"))</f>
        <v/>
      </c>
      <c r="O387" s="0" t="str">
        <f aca="false">IF(C387="","",IF(COUNTIF($C$2:$C$500,C387)&gt;1,"DUPLICATE","OK"))</f>
        <v/>
      </c>
    </row>
    <row r="388" customFormat="false" ht="15" hidden="false" customHeight="false" outlineLevel="0" collapsed="false">
      <c r="I388" s="7"/>
      <c r="J388" s="7"/>
      <c r="M388" s="8"/>
      <c r="N388" s="0" t="str">
        <f aca="false">IF(C388="","",IF(AND(ISNUMBER(FIND("@",C388)),ISNUMBER(FIND(".",C388,FIND("@",C388))),ISERROR(FIND(" ",C388))),"OK","INVALID"))</f>
        <v/>
      </c>
      <c r="O388" s="0" t="str">
        <f aca="false">IF(C388="","",IF(COUNTIF($C$2:$C$500,C388)&gt;1,"DUPLICATE","OK"))</f>
        <v/>
      </c>
    </row>
    <row r="389" customFormat="false" ht="15" hidden="false" customHeight="false" outlineLevel="0" collapsed="false">
      <c r="I389" s="7"/>
      <c r="J389" s="7"/>
      <c r="M389" s="8"/>
      <c r="N389" s="0" t="str">
        <f aca="false">IF(C389="","",IF(AND(ISNUMBER(FIND("@",C389)),ISNUMBER(FIND(".",C389,FIND("@",C389))),ISERROR(FIND(" ",C389))),"OK","INVALID"))</f>
        <v/>
      </c>
      <c r="O389" s="0" t="str">
        <f aca="false">IF(C389="","",IF(COUNTIF($C$2:$C$500,C389)&gt;1,"DUPLICATE","OK"))</f>
        <v/>
      </c>
    </row>
    <row r="390" customFormat="false" ht="15" hidden="false" customHeight="false" outlineLevel="0" collapsed="false">
      <c r="I390" s="7"/>
      <c r="J390" s="7"/>
      <c r="M390" s="8"/>
      <c r="N390" s="0" t="str">
        <f aca="false">IF(C390="","",IF(AND(ISNUMBER(FIND("@",C390)),ISNUMBER(FIND(".",C390,FIND("@",C390))),ISERROR(FIND(" ",C390))),"OK","INVALID"))</f>
        <v/>
      </c>
      <c r="O390" s="0" t="str">
        <f aca="false">IF(C390="","",IF(COUNTIF($C$2:$C$500,C390)&gt;1,"DUPLICATE","OK"))</f>
        <v/>
      </c>
    </row>
    <row r="391" customFormat="false" ht="15" hidden="false" customHeight="false" outlineLevel="0" collapsed="false">
      <c r="I391" s="7"/>
      <c r="J391" s="7"/>
      <c r="M391" s="8"/>
      <c r="N391" s="0" t="str">
        <f aca="false">IF(C391="","",IF(AND(ISNUMBER(FIND("@",C391)),ISNUMBER(FIND(".",C391,FIND("@",C391))),ISERROR(FIND(" ",C391))),"OK","INVALID"))</f>
        <v/>
      </c>
      <c r="O391" s="0" t="str">
        <f aca="false">IF(C391="","",IF(COUNTIF($C$2:$C$500,C391)&gt;1,"DUPLICATE","OK"))</f>
        <v/>
      </c>
    </row>
    <row r="392" customFormat="false" ht="15" hidden="false" customHeight="false" outlineLevel="0" collapsed="false">
      <c r="I392" s="7"/>
      <c r="J392" s="7"/>
      <c r="M392" s="8"/>
      <c r="N392" s="0" t="str">
        <f aca="false">IF(C392="","",IF(AND(ISNUMBER(FIND("@",C392)),ISNUMBER(FIND(".",C392,FIND("@",C392))),ISERROR(FIND(" ",C392))),"OK","INVALID"))</f>
        <v/>
      </c>
      <c r="O392" s="0" t="str">
        <f aca="false">IF(C392="","",IF(COUNTIF($C$2:$C$500,C392)&gt;1,"DUPLICATE","OK"))</f>
        <v/>
      </c>
    </row>
    <row r="393" customFormat="false" ht="15" hidden="false" customHeight="false" outlineLevel="0" collapsed="false">
      <c r="I393" s="7"/>
      <c r="J393" s="7"/>
      <c r="M393" s="8"/>
      <c r="N393" s="0" t="str">
        <f aca="false">IF(C393="","",IF(AND(ISNUMBER(FIND("@",C393)),ISNUMBER(FIND(".",C393,FIND("@",C393))),ISERROR(FIND(" ",C393))),"OK","INVALID"))</f>
        <v/>
      </c>
      <c r="O393" s="0" t="str">
        <f aca="false">IF(C393="","",IF(COUNTIF($C$2:$C$500,C393)&gt;1,"DUPLICATE","OK"))</f>
        <v/>
      </c>
    </row>
    <row r="394" customFormat="false" ht="15" hidden="false" customHeight="false" outlineLevel="0" collapsed="false">
      <c r="I394" s="7"/>
      <c r="J394" s="7"/>
      <c r="M394" s="8"/>
      <c r="N394" s="0" t="str">
        <f aca="false">IF(C394="","",IF(AND(ISNUMBER(FIND("@",C394)),ISNUMBER(FIND(".",C394,FIND("@",C394))),ISERROR(FIND(" ",C394))),"OK","INVALID"))</f>
        <v/>
      </c>
      <c r="O394" s="0" t="str">
        <f aca="false">IF(C394="","",IF(COUNTIF($C$2:$C$500,C394)&gt;1,"DUPLICATE","OK"))</f>
        <v/>
      </c>
    </row>
    <row r="395" customFormat="false" ht="15" hidden="false" customHeight="false" outlineLevel="0" collapsed="false">
      <c r="I395" s="7"/>
      <c r="J395" s="7"/>
      <c r="M395" s="8"/>
      <c r="N395" s="0" t="str">
        <f aca="false">IF(C395="","",IF(AND(ISNUMBER(FIND("@",C395)),ISNUMBER(FIND(".",C395,FIND("@",C395))),ISERROR(FIND(" ",C395))),"OK","INVALID"))</f>
        <v/>
      </c>
      <c r="O395" s="0" t="str">
        <f aca="false">IF(C395="","",IF(COUNTIF($C$2:$C$500,C395)&gt;1,"DUPLICATE","OK"))</f>
        <v/>
      </c>
    </row>
    <row r="396" customFormat="false" ht="15" hidden="false" customHeight="false" outlineLevel="0" collapsed="false">
      <c r="I396" s="7"/>
      <c r="J396" s="7"/>
      <c r="M396" s="8"/>
      <c r="N396" s="0" t="str">
        <f aca="false">IF(C396="","",IF(AND(ISNUMBER(FIND("@",C396)),ISNUMBER(FIND(".",C396,FIND("@",C396))),ISERROR(FIND(" ",C396))),"OK","INVALID"))</f>
        <v/>
      </c>
      <c r="O396" s="0" t="str">
        <f aca="false">IF(C396="","",IF(COUNTIF($C$2:$C$500,C396)&gt;1,"DUPLICATE","OK"))</f>
        <v/>
      </c>
    </row>
    <row r="397" customFormat="false" ht="15" hidden="false" customHeight="false" outlineLevel="0" collapsed="false">
      <c r="I397" s="7"/>
      <c r="J397" s="7"/>
      <c r="M397" s="8"/>
      <c r="N397" s="0" t="str">
        <f aca="false">IF(C397="","",IF(AND(ISNUMBER(FIND("@",C397)),ISNUMBER(FIND(".",C397,FIND("@",C397))),ISERROR(FIND(" ",C397))),"OK","INVALID"))</f>
        <v/>
      </c>
      <c r="O397" s="0" t="str">
        <f aca="false">IF(C397="","",IF(COUNTIF($C$2:$C$500,C397)&gt;1,"DUPLICATE","OK"))</f>
        <v/>
      </c>
    </row>
    <row r="398" customFormat="false" ht="15" hidden="false" customHeight="false" outlineLevel="0" collapsed="false">
      <c r="I398" s="7"/>
      <c r="J398" s="7"/>
      <c r="M398" s="8"/>
      <c r="N398" s="0" t="str">
        <f aca="false">IF(C398="","",IF(AND(ISNUMBER(FIND("@",C398)),ISNUMBER(FIND(".",C398,FIND("@",C398))),ISERROR(FIND(" ",C398))),"OK","INVALID"))</f>
        <v/>
      </c>
      <c r="O398" s="0" t="str">
        <f aca="false">IF(C398="","",IF(COUNTIF($C$2:$C$500,C398)&gt;1,"DUPLICATE","OK"))</f>
        <v/>
      </c>
    </row>
    <row r="399" customFormat="false" ht="15" hidden="false" customHeight="false" outlineLevel="0" collapsed="false">
      <c r="I399" s="7"/>
      <c r="J399" s="7"/>
      <c r="M399" s="8"/>
      <c r="N399" s="0" t="str">
        <f aca="false">IF(C399="","",IF(AND(ISNUMBER(FIND("@",C399)),ISNUMBER(FIND(".",C399,FIND("@",C399))),ISERROR(FIND(" ",C399))),"OK","INVALID"))</f>
        <v/>
      </c>
      <c r="O399" s="0" t="str">
        <f aca="false">IF(C399="","",IF(COUNTIF($C$2:$C$500,C399)&gt;1,"DUPLICATE","OK"))</f>
        <v/>
      </c>
    </row>
    <row r="400" customFormat="false" ht="15" hidden="false" customHeight="false" outlineLevel="0" collapsed="false">
      <c r="I400" s="7"/>
      <c r="J400" s="7"/>
      <c r="M400" s="8"/>
      <c r="N400" s="0" t="str">
        <f aca="false">IF(C400="","",IF(AND(ISNUMBER(FIND("@",C400)),ISNUMBER(FIND(".",C400,FIND("@",C400))),ISERROR(FIND(" ",C400))),"OK","INVALID"))</f>
        <v/>
      </c>
      <c r="O400" s="0" t="str">
        <f aca="false">IF(C400="","",IF(COUNTIF($C$2:$C$500,C400)&gt;1,"DUPLICATE","OK"))</f>
        <v/>
      </c>
    </row>
    <row r="401" customFormat="false" ht="15" hidden="false" customHeight="false" outlineLevel="0" collapsed="false">
      <c r="I401" s="7"/>
      <c r="J401" s="7"/>
      <c r="M401" s="8"/>
      <c r="N401" s="0" t="str">
        <f aca="false">IF(C401="","",IF(AND(ISNUMBER(FIND("@",C401)),ISNUMBER(FIND(".",C401,FIND("@",C401))),ISERROR(FIND(" ",C401))),"OK","INVALID"))</f>
        <v/>
      </c>
      <c r="O401" s="0" t="str">
        <f aca="false">IF(C401="","",IF(COUNTIF($C$2:$C$500,C401)&gt;1,"DUPLICATE","OK"))</f>
        <v/>
      </c>
    </row>
    <row r="402" customFormat="false" ht="15" hidden="false" customHeight="false" outlineLevel="0" collapsed="false">
      <c r="I402" s="7"/>
      <c r="J402" s="7"/>
      <c r="M402" s="8"/>
      <c r="N402" s="0" t="str">
        <f aca="false">IF(C402="","",IF(AND(ISNUMBER(FIND("@",C402)),ISNUMBER(FIND(".",C402,FIND("@",C402))),ISERROR(FIND(" ",C402))),"OK","INVALID"))</f>
        <v/>
      </c>
      <c r="O402" s="0" t="str">
        <f aca="false">IF(C402="","",IF(COUNTIF($C$2:$C$500,C402)&gt;1,"DUPLICATE","OK"))</f>
        <v/>
      </c>
    </row>
    <row r="403" customFormat="false" ht="15" hidden="false" customHeight="false" outlineLevel="0" collapsed="false">
      <c r="I403" s="7"/>
      <c r="J403" s="7"/>
      <c r="M403" s="8"/>
      <c r="N403" s="0" t="str">
        <f aca="false">IF(C403="","",IF(AND(ISNUMBER(FIND("@",C403)),ISNUMBER(FIND(".",C403,FIND("@",C403))),ISERROR(FIND(" ",C403))),"OK","INVALID"))</f>
        <v/>
      </c>
      <c r="O403" s="0" t="str">
        <f aca="false">IF(C403="","",IF(COUNTIF($C$2:$C$500,C403)&gt;1,"DUPLICATE","OK"))</f>
        <v/>
      </c>
    </row>
    <row r="404" customFormat="false" ht="15" hidden="false" customHeight="false" outlineLevel="0" collapsed="false">
      <c r="I404" s="7"/>
      <c r="J404" s="7"/>
      <c r="M404" s="8"/>
      <c r="N404" s="0" t="str">
        <f aca="false">IF(C404="","",IF(AND(ISNUMBER(FIND("@",C404)),ISNUMBER(FIND(".",C404,FIND("@",C404))),ISERROR(FIND(" ",C404))),"OK","INVALID"))</f>
        <v/>
      </c>
      <c r="O404" s="0" t="str">
        <f aca="false">IF(C404="","",IF(COUNTIF($C$2:$C$500,C404)&gt;1,"DUPLICATE","OK"))</f>
        <v/>
      </c>
    </row>
    <row r="405" customFormat="false" ht="15" hidden="false" customHeight="false" outlineLevel="0" collapsed="false">
      <c r="I405" s="7"/>
      <c r="J405" s="7"/>
      <c r="M405" s="8"/>
      <c r="N405" s="0" t="str">
        <f aca="false">IF(C405="","",IF(AND(ISNUMBER(FIND("@",C405)),ISNUMBER(FIND(".",C405,FIND("@",C405))),ISERROR(FIND(" ",C405))),"OK","INVALID"))</f>
        <v/>
      </c>
      <c r="O405" s="0" t="str">
        <f aca="false">IF(C405="","",IF(COUNTIF($C$2:$C$500,C405)&gt;1,"DUPLICATE","OK"))</f>
        <v/>
      </c>
    </row>
    <row r="406" customFormat="false" ht="15" hidden="false" customHeight="false" outlineLevel="0" collapsed="false">
      <c r="I406" s="7"/>
      <c r="J406" s="7"/>
      <c r="M406" s="8"/>
      <c r="N406" s="0" t="str">
        <f aca="false">IF(C406="","",IF(AND(ISNUMBER(FIND("@",C406)),ISNUMBER(FIND(".",C406,FIND("@",C406))),ISERROR(FIND(" ",C406))),"OK","INVALID"))</f>
        <v/>
      </c>
      <c r="O406" s="0" t="str">
        <f aca="false">IF(C406="","",IF(COUNTIF($C$2:$C$500,C406)&gt;1,"DUPLICATE","OK"))</f>
        <v/>
      </c>
    </row>
    <row r="407" customFormat="false" ht="15" hidden="false" customHeight="false" outlineLevel="0" collapsed="false">
      <c r="I407" s="7"/>
      <c r="J407" s="7"/>
      <c r="M407" s="8"/>
      <c r="N407" s="0" t="str">
        <f aca="false">IF(C407="","",IF(AND(ISNUMBER(FIND("@",C407)),ISNUMBER(FIND(".",C407,FIND("@",C407))),ISERROR(FIND(" ",C407))),"OK","INVALID"))</f>
        <v/>
      </c>
      <c r="O407" s="0" t="str">
        <f aca="false">IF(C407="","",IF(COUNTIF($C$2:$C$500,C407)&gt;1,"DUPLICATE","OK"))</f>
        <v/>
      </c>
    </row>
    <row r="408" customFormat="false" ht="15" hidden="false" customHeight="false" outlineLevel="0" collapsed="false">
      <c r="I408" s="7"/>
      <c r="J408" s="7"/>
      <c r="M408" s="8"/>
      <c r="N408" s="0" t="str">
        <f aca="false">IF(C408="","",IF(AND(ISNUMBER(FIND("@",C408)),ISNUMBER(FIND(".",C408,FIND("@",C408))),ISERROR(FIND(" ",C408))),"OK","INVALID"))</f>
        <v/>
      </c>
      <c r="O408" s="0" t="str">
        <f aca="false">IF(C408="","",IF(COUNTIF($C$2:$C$500,C408)&gt;1,"DUPLICATE","OK"))</f>
        <v/>
      </c>
    </row>
    <row r="409" customFormat="false" ht="15" hidden="false" customHeight="false" outlineLevel="0" collapsed="false">
      <c r="I409" s="7"/>
      <c r="J409" s="7"/>
      <c r="M409" s="8"/>
      <c r="N409" s="0" t="str">
        <f aca="false">IF(C409="","",IF(AND(ISNUMBER(FIND("@",C409)),ISNUMBER(FIND(".",C409,FIND("@",C409))),ISERROR(FIND(" ",C409))),"OK","INVALID"))</f>
        <v/>
      </c>
      <c r="O409" s="0" t="str">
        <f aca="false">IF(C409="","",IF(COUNTIF($C$2:$C$500,C409)&gt;1,"DUPLICATE","OK"))</f>
        <v/>
      </c>
    </row>
    <row r="410" customFormat="false" ht="15" hidden="false" customHeight="false" outlineLevel="0" collapsed="false">
      <c r="I410" s="7"/>
      <c r="J410" s="7"/>
      <c r="M410" s="8"/>
      <c r="N410" s="0" t="str">
        <f aca="false">IF(C410="","",IF(AND(ISNUMBER(FIND("@",C410)),ISNUMBER(FIND(".",C410,FIND("@",C410))),ISERROR(FIND(" ",C410))),"OK","INVALID"))</f>
        <v/>
      </c>
      <c r="O410" s="0" t="str">
        <f aca="false">IF(C410="","",IF(COUNTIF($C$2:$C$500,C410)&gt;1,"DUPLICATE","OK"))</f>
        <v/>
      </c>
    </row>
    <row r="411" customFormat="false" ht="15" hidden="false" customHeight="false" outlineLevel="0" collapsed="false">
      <c r="I411" s="7"/>
      <c r="J411" s="7"/>
      <c r="M411" s="8"/>
      <c r="N411" s="0" t="str">
        <f aca="false">IF(C411="","",IF(AND(ISNUMBER(FIND("@",C411)),ISNUMBER(FIND(".",C411,FIND("@",C411))),ISERROR(FIND(" ",C411))),"OK","INVALID"))</f>
        <v/>
      </c>
      <c r="O411" s="0" t="str">
        <f aca="false">IF(C411="","",IF(COUNTIF($C$2:$C$500,C411)&gt;1,"DUPLICATE","OK"))</f>
        <v/>
      </c>
    </row>
    <row r="412" customFormat="false" ht="15" hidden="false" customHeight="false" outlineLevel="0" collapsed="false">
      <c r="I412" s="7"/>
      <c r="J412" s="7"/>
      <c r="M412" s="8"/>
      <c r="N412" s="0" t="str">
        <f aca="false">IF(C412="","",IF(AND(ISNUMBER(FIND("@",C412)),ISNUMBER(FIND(".",C412,FIND("@",C412))),ISERROR(FIND(" ",C412))),"OK","INVALID"))</f>
        <v/>
      </c>
      <c r="O412" s="0" t="str">
        <f aca="false">IF(C412="","",IF(COUNTIF($C$2:$C$500,C412)&gt;1,"DUPLICATE","OK"))</f>
        <v/>
      </c>
    </row>
    <row r="413" customFormat="false" ht="15" hidden="false" customHeight="false" outlineLevel="0" collapsed="false">
      <c r="I413" s="7"/>
      <c r="J413" s="7"/>
      <c r="M413" s="8"/>
      <c r="N413" s="0" t="str">
        <f aca="false">IF(C413="","",IF(AND(ISNUMBER(FIND("@",C413)),ISNUMBER(FIND(".",C413,FIND("@",C413))),ISERROR(FIND(" ",C413))),"OK","INVALID"))</f>
        <v/>
      </c>
      <c r="O413" s="0" t="str">
        <f aca="false">IF(C413="","",IF(COUNTIF($C$2:$C$500,C413)&gt;1,"DUPLICATE","OK"))</f>
        <v/>
      </c>
    </row>
    <row r="414" customFormat="false" ht="15" hidden="false" customHeight="false" outlineLevel="0" collapsed="false">
      <c r="I414" s="7"/>
      <c r="J414" s="7"/>
      <c r="M414" s="8"/>
      <c r="N414" s="0" t="str">
        <f aca="false">IF(C414="","",IF(AND(ISNUMBER(FIND("@",C414)),ISNUMBER(FIND(".",C414,FIND("@",C414))),ISERROR(FIND(" ",C414))),"OK","INVALID"))</f>
        <v/>
      </c>
      <c r="O414" s="0" t="str">
        <f aca="false">IF(C414="","",IF(COUNTIF($C$2:$C$500,C414)&gt;1,"DUPLICATE","OK"))</f>
        <v/>
      </c>
    </row>
    <row r="415" customFormat="false" ht="15" hidden="false" customHeight="false" outlineLevel="0" collapsed="false">
      <c r="I415" s="7"/>
      <c r="J415" s="7"/>
      <c r="M415" s="8"/>
      <c r="N415" s="0" t="str">
        <f aca="false">IF(C415="","",IF(AND(ISNUMBER(FIND("@",C415)),ISNUMBER(FIND(".",C415,FIND("@",C415))),ISERROR(FIND(" ",C415))),"OK","INVALID"))</f>
        <v/>
      </c>
      <c r="O415" s="0" t="str">
        <f aca="false">IF(C415="","",IF(COUNTIF($C$2:$C$500,C415)&gt;1,"DUPLICATE","OK"))</f>
        <v/>
      </c>
    </row>
    <row r="416" customFormat="false" ht="15" hidden="false" customHeight="false" outlineLevel="0" collapsed="false">
      <c r="I416" s="7"/>
      <c r="J416" s="7"/>
      <c r="M416" s="8"/>
      <c r="N416" s="0" t="str">
        <f aca="false">IF(C416="","",IF(AND(ISNUMBER(FIND("@",C416)),ISNUMBER(FIND(".",C416,FIND("@",C416))),ISERROR(FIND(" ",C416))),"OK","INVALID"))</f>
        <v/>
      </c>
      <c r="O416" s="0" t="str">
        <f aca="false">IF(C416="","",IF(COUNTIF($C$2:$C$500,C416)&gt;1,"DUPLICATE","OK"))</f>
        <v/>
      </c>
    </row>
    <row r="417" customFormat="false" ht="15" hidden="false" customHeight="false" outlineLevel="0" collapsed="false">
      <c r="I417" s="7"/>
      <c r="J417" s="7"/>
      <c r="M417" s="8"/>
      <c r="N417" s="0" t="str">
        <f aca="false">IF(C417="","",IF(AND(ISNUMBER(FIND("@",C417)),ISNUMBER(FIND(".",C417,FIND("@",C417))),ISERROR(FIND(" ",C417))),"OK","INVALID"))</f>
        <v/>
      </c>
      <c r="O417" s="0" t="str">
        <f aca="false">IF(C417="","",IF(COUNTIF($C$2:$C$500,C417)&gt;1,"DUPLICATE","OK"))</f>
        <v/>
      </c>
    </row>
    <row r="418" customFormat="false" ht="15" hidden="false" customHeight="false" outlineLevel="0" collapsed="false">
      <c r="I418" s="7"/>
      <c r="J418" s="7"/>
      <c r="M418" s="8"/>
      <c r="N418" s="0" t="str">
        <f aca="false">IF(C418="","",IF(AND(ISNUMBER(FIND("@",C418)),ISNUMBER(FIND(".",C418,FIND("@",C418))),ISERROR(FIND(" ",C418))),"OK","INVALID"))</f>
        <v/>
      </c>
      <c r="O418" s="0" t="str">
        <f aca="false">IF(C418="","",IF(COUNTIF($C$2:$C$500,C418)&gt;1,"DUPLICATE","OK"))</f>
        <v/>
      </c>
    </row>
    <row r="419" customFormat="false" ht="15" hidden="false" customHeight="false" outlineLevel="0" collapsed="false">
      <c r="I419" s="7"/>
      <c r="J419" s="7"/>
      <c r="M419" s="8"/>
      <c r="N419" s="0" t="str">
        <f aca="false">IF(C419="","",IF(AND(ISNUMBER(FIND("@",C419)),ISNUMBER(FIND(".",C419,FIND("@",C419))),ISERROR(FIND(" ",C419))),"OK","INVALID"))</f>
        <v/>
      </c>
      <c r="O419" s="0" t="str">
        <f aca="false">IF(C419="","",IF(COUNTIF($C$2:$C$500,C419)&gt;1,"DUPLICATE","OK"))</f>
        <v/>
      </c>
    </row>
    <row r="420" customFormat="false" ht="15" hidden="false" customHeight="false" outlineLevel="0" collapsed="false">
      <c r="I420" s="7"/>
      <c r="J420" s="7"/>
      <c r="M420" s="8"/>
      <c r="N420" s="0" t="str">
        <f aca="false">IF(C420="","",IF(AND(ISNUMBER(FIND("@",C420)),ISNUMBER(FIND(".",C420,FIND("@",C420))),ISERROR(FIND(" ",C420))),"OK","INVALID"))</f>
        <v/>
      </c>
      <c r="O420" s="0" t="str">
        <f aca="false">IF(C420="","",IF(COUNTIF($C$2:$C$500,C420)&gt;1,"DUPLICATE","OK"))</f>
        <v/>
      </c>
    </row>
    <row r="421" customFormat="false" ht="15" hidden="false" customHeight="false" outlineLevel="0" collapsed="false">
      <c r="I421" s="7"/>
      <c r="J421" s="7"/>
      <c r="M421" s="8"/>
      <c r="N421" s="0" t="str">
        <f aca="false">IF(C421="","",IF(AND(ISNUMBER(FIND("@",C421)),ISNUMBER(FIND(".",C421,FIND("@",C421))),ISERROR(FIND(" ",C421))),"OK","INVALID"))</f>
        <v/>
      </c>
      <c r="O421" s="0" t="str">
        <f aca="false">IF(C421="","",IF(COUNTIF($C$2:$C$500,C421)&gt;1,"DUPLICATE","OK"))</f>
        <v/>
      </c>
    </row>
    <row r="422" customFormat="false" ht="15" hidden="false" customHeight="false" outlineLevel="0" collapsed="false">
      <c r="I422" s="7"/>
      <c r="J422" s="7"/>
      <c r="M422" s="8"/>
      <c r="N422" s="0" t="str">
        <f aca="false">IF(C422="","",IF(AND(ISNUMBER(FIND("@",C422)),ISNUMBER(FIND(".",C422,FIND("@",C422))),ISERROR(FIND(" ",C422))),"OK","INVALID"))</f>
        <v/>
      </c>
      <c r="O422" s="0" t="str">
        <f aca="false">IF(C422="","",IF(COUNTIF($C$2:$C$500,C422)&gt;1,"DUPLICATE","OK"))</f>
        <v/>
      </c>
    </row>
    <row r="423" customFormat="false" ht="15" hidden="false" customHeight="false" outlineLevel="0" collapsed="false">
      <c r="I423" s="7"/>
      <c r="J423" s="7"/>
      <c r="M423" s="8"/>
      <c r="N423" s="0" t="str">
        <f aca="false">IF(C423="","",IF(AND(ISNUMBER(FIND("@",C423)),ISNUMBER(FIND(".",C423,FIND("@",C423))),ISERROR(FIND(" ",C423))),"OK","INVALID"))</f>
        <v/>
      </c>
      <c r="O423" s="0" t="str">
        <f aca="false">IF(C423="","",IF(COUNTIF($C$2:$C$500,C423)&gt;1,"DUPLICATE","OK"))</f>
        <v/>
      </c>
    </row>
    <row r="424" customFormat="false" ht="15" hidden="false" customHeight="false" outlineLevel="0" collapsed="false">
      <c r="I424" s="7"/>
      <c r="J424" s="7"/>
      <c r="M424" s="8"/>
      <c r="N424" s="0" t="str">
        <f aca="false">IF(C424="","",IF(AND(ISNUMBER(FIND("@",C424)),ISNUMBER(FIND(".",C424,FIND("@",C424))),ISERROR(FIND(" ",C424))),"OK","INVALID"))</f>
        <v/>
      </c>
      <c r="O424" s="0" t="str">
        <f aca="false">IF(C424="","",IF(COUNTIF($C$2:$C$500,C424)&gt;1,"DUPLICATE","OK"))</f>
        <v/>
      </c>
    </row>
    <row r="425" customFormat="false" ht="15" hidden="false" customHeight="false" outlineLevel="0" collapsed="false">
      <c r="I425" s="7"/>
      <c r="J425" s="7"/>
      <c r="M425" s="8"/>
      <c r="N425" s="0" t="str">
        <f aca="false">IF(C425="","",IF(AND(ISNUMBER(FIND("@",C425)),ISNUMBER(FIND(".",C425,FIND("@",C425))),ISERROR(FIND(" ",C425))),"OK","INVALID"))</f>
        <v/>
      </c>
      <c r="O425" s="0" t="str">
        <f aca="false">IF(C425="","",IF(COUNTIF($C$2:$C$500,C425)&gt;1,"DUPLICATE","OK"))</f>
        <v/>
      </c>
    </row>
    <row r="426" customFormat="false" ht="15" hidden="false" customHeight="false" outlineLevel="0" collapsed="false">
      <c r="I426" s="7"/>
      <c r="J426" s="7"/>
      <c r="M426" s="8"/>
      <c r="N426" s="0" t="str">
        <f aca="false">IF(C426="","",IF(AND(ISNUMBER(FIND("@",C426)),ISNUMBER(FIND(".",C426,FIND("@",C426))),ISERROR(FIND(" ",C426))),"OK","INVALID"))</f>
        <v/>
      </c>
      <c r="O426" s="0" t="str">
        <f aca="false">IF(C426="","",IF(COUNTIF($C$2:$C$500,C426)&gt;1,"DUPLICATE","OK"))</f>
        <v/>
      </c>
    </row>
    <row r="427" customFormat="false" ht="15" hidden="false" customHeight="false" outlineLevel="0" collapsed="false">
      <c r="I427" s="7"/>
      <c r="J427" s="7"/>
      <c r="M427" s="8"/>
      <c r="N427" s="0" t="str">
        <f aca="false">IF(C427="","",IF(AND(ISNUMBER(FIND("@",C427)),ISNUMBER(FIND(".",C427,FIND("@",C427))),ISERROR(FIND(" ",C427))),"OK","INVALID"))</f>
        <v/>
      </c>
      <c r="O427" s="0" t="str">
        <f aca="false">IF(C427="","",IF(COUNTIF($C$2:$C$500,C427)&gt;1,"DUPLICATE","OK"))</f>
        <v/>
      </c>
    </row>
    <row r="428" customFormat="false" ht="15" hidden="false" customHeight="false" outlineLevel="0" collapsed="false">
      <c r="I428" s="7"/>
      <c r="J428" s="7"/>
      <c r="M428" s="8"/>
      <c r="N428" s="0" t="str">
        <f aca="false">IF(C428="","",IF(AND(ISNUMBER(FIND("@",C428)),ISNUMBER(FIND(".",C428,FIND("@",C428))),ISERROR(FIND(" ",C428))),"OK","INVALID"))</f>
        <v/>
      </c>
      <c r="O428" s="0" t="str">
        <f aca="false">IF(C428="","",IF(COUNTIF($C$2:$C$500,C428)&gt;1,"DUPLICATE","OK"))</f>
        <v/>
      </c>
    </row>
    <row r="429" customFormat="false" ht="15" hidden="false" customHeight="false" outlineLevel="0" collapsed="false">
      <c r="I429" s="7"/>
      <c r="J429" s="7"/>
      <c r="M429" s="8"/>
      <c r="N429" s="0" t="str">
        <f aca="false">IF(C429="","",IF(AND(ISNUMBER(FIND("@",C429)),ISNUMBER(FIND(".",C429,FIND("@",C429))),ISERROR(FIND(" ",C429))),"OK","INVALID"))</f>
        <v/>
      </c>
      <c r="O429" s="0" t="str">
        <f aca="false">IF(C429="","",IF(COUNTIF($C$2:$C$500,C429)&gt;1,"DUPLICATE","OK"))</f>
        <v/>
      </c>
    </row>
    <row r="430" customFormat="false" ht="15" hidden="false" customHeight="false" outlineLevel="0" collapsed="false">
      <c r="I430" s="7"/>
      <c r="J430" s="7"/>
      <c r="M430" s="8"/>
      <c r="N430" s="0" t="str">
        <f aca="false">IF(C430="","",IF(AND(ISNUMBER(FIND("@",C430)),ISNUMBER(FIND(".",C430,FIND("@",C430))),ISERROR(FIND(" ",C430))),"OK","INVALID"))</f>
        <v/>
      </c>
      <c r="O430" s="0" t="str">
        <f aca="false">IF(C430="","",IF(COUNTIF($C$2:$C$500,C430)&gt;1,"DUPLICATE","OK"))</f>
        <v/>
      </c>
    </row>
    <row r="431" customFormat="false" ht="15" hidden="false" customHeight="false" outlineLevel="0" collapsed="false">
      <c r="I431" s="7"/>
      <c r="J431" s="7"/>
      <c r="M431" s="8"/>
      <c r="N431" s="0" t="str">
        <f aca="false">IF(C431="","",IF(AND(ISNUMBER(FIND("@",C431)),ISNUMBER(FIND(".",C431,FIND("@",C431))),ISERROR(FIND(" ",C431))),"OK","INVALID"))</f>
        <v/>
      </c>
      <c r="O431" s="0" t="str">
        <f aca="false">IF(C431="","",IF(COUNTIF($C$2:$C$500,C431)&gt;1,"DUPLICATE","OK"))</f>
        <v/>
      </c>
    </row>
    <row r="432" customFormat="false" ht="15" hidden="false" customHeight="false" outlineLevel="0" collapsed="false">
      <c r="I432" s="7"/>
      <c r="J432" s="7"/>
      <c r="M432" s="8"/>
      <c r="N432" s="0" t="str">
        <f aca="false">IF(C432="","",IF(AND(ISNUMBER(FIND("@",C432)),ISNUMBER(FIND(".",C432,FIND("@",C432))),ISERROR(FIND(" ",C432))),"OK","INVALID"))</f>
        <v/>
      </c>
      <c r="O432" s="0" t="str">
        <f aca="false">IF(C432="","",IF(COUNTIF($C$2:$C$500,C432)&gt;1,"DUPLICATE","OK"))</f>
        <v/>
      </c>
    </row>
    <row r="433" customFormat="false" ht="15" hidden="false" customHeight="false" outlineLevel="0" collapsed="false">
      <c r="I433" s="7"/>
      <c r="J433" s="7"/>
      <c r="M433" s="8"/>
      <c r="N433" s="0" t="str">
        <f aca="false">IF(C433="","",IF(AND(ISNUMBER(FIND("@",C433)),ISNUMBER(FIND(".",C433,FIND("@",C433))),ISERROR(FIND(" ",C433))),"OK","INVALID"))</f>
        <v/>
      </c>
      <c r="O433" s="0" t="str">
        <f aca="false">IF(C433="","",IF(COUNTIF($C$2:$C$500,C433)&gt;1,"DUPLICATE","OK"))</f>
        <v/>
      </c>
    </row>
    <row r="434" customFormat="false" ht="15" hidden="false" customHeight="false" outlineLevel="0" collapsed="false">
      <c r="I434" s="7"/>
      <c r="J434" s="7"/>
      <c r="M434" s="8"/>
      <c r="N434" s="0" t="str">
        <f aca="false">IF(C434="","",IF(AND(ISNUMBER(FIND("@",C434)),ISNUMBER(FIND(".",C434,FIND("@",C434))),ISERROR(FIND(" ",C434))),"OK","INVALID"))</f>
        <v/>
      </c>
      <c r="O434" s="0" t="str">
        <f aca="false">IF(C434="","",IF(COUNTIF($C$2:$C$500,C434)&gt;1,"DUPLICATE","OK"))</f>
        <v/>
      </c>
    </row>
    <row r="435" customFormat="false" ht="15" hidden="false" customHeight="false" outlineLevel="0" collapsed="false">
      <c r="I435" s="7"/>
      <c r="J435" s="7"/>
      <c r="M435" s="8"/>
      <c r="N435" s="0" t="str">
        <f aca="false">IF(C435="","",IF(AND(ISNUMBER(FIND("@",C435)),ISNUMBER(FIND(".",C435,FIND("@",C435))),ISERROR(FIND(" ",C435))),"OK","INVALID"))</f>
        <v/>
      </c>
      <c r="O435" s="0" t="str">
        <f aca="false">IF(C435="","",IF(COUNTIF($C$2:$C$500,C435)&gt;1,"DUPLICATE","OK"))</f>
        <v/>
      </c>
    </row>
    <row r="436" customFormat="false" ht="15" hidden="false" customHeight="false" outlineLevel="0" collapsed="false">
      <c r="I436" s="7"/>
      <c r="J436" s="7"/>
      <c r="M436" s="8"/>
      <c r="N436" s="0" t="str">
        <f aca="false">IF(C436="","",IF(AND(ISNUMBER(FIND("@",C436)),ISNUMBER(FIND(".",C436,FIND("@",C436))),ISERROR(FIND(" ",C436))),"OK","INVALID"))</f>
        <v/>
      </c>
      <c r="O436" s="0" t="str">
        <f aca="false">IF(C436="","",IF(COUNTIF($C$2:$C$500,C436)&gt;1,"DUPLICATE","OK"))</f>
        <v/>
      </c>
    </row>
    <row r="437" customFormat="false" ht="15" hidden="false" customHeight="false" outlineLevel="0" collapsed="false">
      <c r="I437" s="7"/>
      <c r="J437" s="7"/>
      <c r="M437" s="8"/>
      <c r="N437" s="0" t="str">
        <f aca="false">IF(C437="","",IF(AND(ISNUMBER(FIND("@",C437)),ISNUMBER(FIND(".",C437,FIND("@",C437))),ISERROR(FIND(" ",C437))),"OK","INVALID"))</f>
        <v/>
      </c>
      <c r="O437" s="0" t="str">
        <f aca="false">IF(C437="","",IF(COUNTIF($C$2:$C$500,C437)&gt;1,"DUPLICATE","OK"))</f>
        <v/>
      </c>
    </row>
    <row r="438" customFormat="false" ht="15" hidden="false" customHeight="false" outlineLevel="0" collapsed="false">
      <c r="I438" s="7"/>
      <c r="J438" s="7"/>
      <c r="M438" s="8"/>
      <c r="N438" s="0" t="str">
        <f aca="false">IF(C438="","",IF(AND(ISNUMBER(FIND("@",C438)),ISNUMBER(FIND(".",C438,FIND("@",C438))),ISERROR(FIND(" ",C438))),"OK","INVALID"))</f>
        <v/>
      </c>
      <c r="O438" s="0" t="str">
        <f aca="false">IF(C438="","",IF(COUNTIF($C$2:$C$500,C438)&gt;1,"DUPLICATE","OK"))</f>
        <v/>
      </c>
    </row>
    <row r="439" customFormat="false" ht="15" hidden="false" customHeight="false" outlineLevel="0" collapsed="false">
      <c r="I439" s="7"/>
      <c r="J439" s="7"/>
      <c r="M439" s="8"/>
      <c r="N439" s="0" t="str">
        <f aca="false">IF(C439="","",IF(AND(ISNUMBER(FIND("@",C439)),ISNUMBER(FIND(".",C439,FIND("@",C439))),ISERROR(FIND(" ",C439))),"OK","INVALID"))</f>
        <v/>
      </c>
      <c r="O439" s="0" t="str">
        <f aca="false">IF(C439="","",IF(COUNTIF($C$2:$C$500,C439)&gt;1,"DUPLICATE","OK"))</f>
        <v/>
      </c>
    </row>
    <row r="440" customFormat="false" ht="15" hidden="false" customHeight="false" outlineLevel="0" collapsed="false">
      <c r="I440" s="7"/>
      <c r="J440" s="7"/>
      <c r="M440" s="8"/>
      <c r="N440" s="0" t="str">
        <f aca="false">IF(C440="","",IF(AND(ISNUMBER(FIND("@",C440)),ISNUMBER(FIND(".",C440,FIND("@",C440))),ISERROR(FIND(" ",C440))),"OK","INVALID"))</f>
        <v/>
      </c>
      <c r="O440" s="0" t="str">
        <f aca="false">IF(C440="","",IF(COUNTIF($C$2:$C$500,C440)&gt;1,"DUPLICATE","OK"))</f>
        <v/>
      </c>
    </row>
    <row r="441" customFormat="false" ht="15" hidden="false" customHeight="false" outlineLevel="0" collapsed="false">
      <c r="I441" s="7"/>
      <c r="J441" s="7"/>
      <c r="M441" s="8"/>
      <c r="N441" s="0" t="str">
        <f aca="false">IF(C441="","",IF(AND(ISNUMBER(FIND("@",C441)),ISNUMBER(FIND(".",C441,FIND("@",C441))),ISERROR(FIND(" ",C441))),"OK","INVALID"))</f>
        <v/>
      </c>
      <c r="O441" s="0" t="str">
        <f aca="false">IF(C441="","",IF(COUNTIF($C$2:$C$500,C441)&gt;1,"DUPLICATE","OK"))</f>
        <v/>
      </c>
    </row>
    <row r="442" customFormat="false" ht="15" hidden="false" customHeight="false" outlineLevel="0" collapsed="false">
      <c r="I442" s="7"/>
      <c r="J442" s="7"/>
      <c r="M442" s="8"/>
      <c r="N442" s="0" t="str">
        <f aca="false">IF(C442="","",IF(AND(ISNUMBER(FIND("@",C442)),ISNUMBER(FIND(".",C442,FIND("@",C442))),ISERROR(FIND(" ",C442))),"OK","INVALID"))</f>
        <v/>
      </c>
      <c r="O442" s="0" t="str">
        <f aca="false">IF(C442="","",IF(COUNTIF($C$2:$C$500,C442)&gt;1,"DUPLICATE","OK"))</f>
        <v/>
      </c>
    </row>
    <row r="443" customFormat="false" ht="15" hidden="false" customHeight="false" outlineLevel="0" collapsed="false">
      <c r="I443" s="7"/>
      <c r="J443" s="7"/>
      <c r="M443" s="8"/>
      <c r="N443" s="0" t="str">
        <f aca="false">IF(C443="","",IF(AND(ISNUMBER(FIND("@",C443)),ISNUMBER(FIND(".",C443,FIND("@",C443))),ISERROR(FIND(" ",C443))),"OK","INVALID"))</f>
        <v/>
      </c>
      <c r="O443" s="0" t="str">
        <f aca="false">IF(C443="","",IF(COUNTIF($C$2:$C$500,C443)&gt;1,"DUPLICATE","OK"))</f>
        <v/>
      </c>
    </row>
    <row r="444" customFormat="false" ht="15" hidden="false" customHeight="false" outlineLevel="0" collapsed="false">
      <c r="I444" s="7"/>
      <c r="J444" s="7"/>
      <c r="M444" s="8"/>
      <c r="N444" s="0" t="str">
        <f aca="false">IF(C444="","",IF(AND(ISNUMBER(FIND("@",C444)),ISNUMBER(FIND(".",C444,FIND("@",C444))),ISERROR(FIND(" ",C444))),"OK","INVALID"))</f>
        <v/>
      </c>
      <c r="O444" s="0" t="str">
        <f aca="false">IF(C444="","",IF(COUNTIF($C$2:$C$500,C444)&gt;1,"DUPLICATE","OK"))</f>
        <v/>
      </c>
    </row>
    <row r="445" customFormat="false" ht="15" hidden="false" customHeight="false" outlineLevel="0" collapsed="false">
      <c r="I445" s="7"/>
      <c r="J445" s="7"/>
      <c r="M445" s="8"/>
      <c r="N445" s="0" t="str">
        <f aca="false">IF(C445="","",IF(AND(ISNUMBER(FIND("@",C445)),ISNUMBER(FIND(".",C445,FIND("@",C445))),ISERROR(FIND(" ",C445))),"OK","INVALID"))</f>
        <v/>
      </c>
      <c r="O445" s="0" t="str">
        <f aca="false">IF(C445="","",IF(COUNTIF($C$2:$C$500,C445)&gt;1,"DUPLICATE","OK"))</f>
        <v/>
      </c>
    </row>
    <row r="446" customFormat="false" ht="15" hidden="false" customHeight="false" outlineLevel="0" collapsed="false">
      <c r="I446" s="7"/>
      <c r="J446" s="7"/>
      <c r="M446" s="8"/>
      <c r="N446" s="0" t="str">
        <f aca="false">IF(C446="","",IF(AND(ISNUMBER(FIND("@",C446)),ISNUMBER(FIND(".",C446,FIND("@",C446))),ISERROR(FIND(" ",C446))),"OK","INVALID"))</f>
        <v/>
      </c>
      <c r="O446" s="0" t="str">
        <f aca="false">IF(C446="","",IF(COUNTIF($C$2:$C$500,C446)&gt;1,"DUPLICATE","OK"))</f>
        <v/>
      </c>
    </row>
    <row r="447" customFormat="false" ht="15" hidden="false" customHeight="false" outlineLevel="0" collapsed="false">
      <c r="I447" s="7"/>
      <c r="J447" s="7"/>
      <c r="M447" s="8"/>
      <c r="N447" s="0" t="str">
        <f aca="false">IF(C447="","",IF(AND(ISNUMBER(FIND("@",C447)),ISNUMBER(FIND(".",C447,FIND("@",C447))),ISERROR(FIND(" ",C447))),"OK","INVALID"))</f>
        <v/>
      </c>
      <c r="O447" s="0" t="str">
        <f aca="false">IF(C447="","",IF(COUNTIF($C$2:$C$500,C447)&gt;1,"DUPLICATE","OK"))</f>
        <v/>
      </c>
    </row>
    <row r="448" customFormat="false" ht="15" hidden="false" customHeight="false" outlineLevel="0" collapsed="false">
      <c r="I448" s="7"/>
      <c r="J448" s="7"/>
      <c r="M448" s="8"/>
      <c r="N448" s="0" t="str">
        <f aca="false">IF(C448="","",IF(AND(ISNUMBER(FIND("@",C448)),ISNUMBER(FIND(".",C448,FIND("@",C448))),ISERROR(FIND(" ",C448))),"OK","INVALID"))</f>
        <v/>
      </c>
      <c r="O448" s="0" t="str">
        <f aca="false">IF(C448="","",IF(COUNTIF($C$2:$C$500,C448)&gt;1,"DUPLICATE","OK"))</f>
        <v/>
      </c>
    </row>
    <row r="449" customFormat="false" ht="15" hidden="false" customHeight="false" outlineLevel="0" collapsed="false">
      <c r="I449" s="7"/>
      <c r="J449" s="7"/>
      <c r="M449" s="8"/>
      <c r="N449" s="0" t="str">
        <f aca="false">IF(C449="","",IF(AND(ISNUMBER(FIND("@",C449)),ISNUMBER(FIND(".",C449,FIND("@",C449))),ISERROR(FIND(" ",C449))),"OK","INVALID"))</f>
        <v/>
      </c>
      <c r="O449" s="0" t="str">
        <f aca="false">IF(C449="","",IF(COUNTIF($C$2:$C$500,C449)&gt;1,"DUPLICATE","OK"))</f>
        <v/>
      </c>
    </row>
    <row r="450" customFormat="false" ht="15" hidden="false" customHeight="false" outlineLevel="0" collapsed="false">
      <c r="I450" s="7"/>
      <c r="J450" s="7"/>
      <c r="M450" s="8"/>
      <c r="N450" s="0" t="str">
        <f aca="false">IF(C450="","",IF(AND(ISNUMBER(FIND("@",C450)),ISNUMBER(FIND(".",C450,FIND("@",C450))),ISERROR(FIND(" ",C450))),"OK","INVALID"))</f>
        <v/>
      </c>
      <c r="O450" s="0" t="str">
        <f aca="false">IF(C450="","",IF(COUNTIF($C$2:$C$500,C450)&gt;1,"DUPLICATE","OK"))</f>
        <v/>
      </c>
    </row>
    <row r="451" customFormat="false" ht="15" hidden="false" customHeight="false" outlineLevel="0" collapsed="false">
      <c r="I451" s="7"/>
      <c r="J451" s="7"/>
      <c r="M451" s="8"/>
      <c r="N451" s="0" t="str">
        <f aca="false">IF(C451="","",IF(AND(ISNUMBER(FIND("@",C451)),ISNUMBER(FIND(".",C451,FIND("@",C451))),ISERROR(FIND(" ",C451))),"OK","INVALID"))</f>
        <v/>
      </c>
      <c r="O451" s="0" t="str">
        <f aca="false">IF(C451="","",IF(COUNTIF($C$2:$C$500,C451)&gt;1,"DUPLICATE","OK"))</f>
        <v/>
      </c>
    </row>
    <row r="452" customFormat="false" ht="15" hidden="false" customHeight="false" outlineLevel="0" collapsed="false">
      <c r="I452" s="7"/>
      <c r="J452" s="7"/>
      <c r="M452" s="8"/>
      <c r="N452" s="0" t="str">
        <f aca="false">IF(C452="","",IF(AND(ISNUMBER(FIND("@",C452)),ISNUMBER(FIND(".",C452,FIND("@",C452))),ISERROR(FIND(" ",C452))),"OK","INVALID"))</f>
        <v/>
      </c>
      <c r="O452" s="0" t="str">
        <f aca="false">IF(C452="","",IF(COUNTIF($C$2:$C$500,C452)&gt;1,"DUPLICATE","OK"))</f>
        <v/>
      </c>
    </row>
    <row r="453" customFormat="false" ht="15" hidden="false" customHeight="false" outlineLevel="0" collapsed="false">
      <c r="I453" s="7"/>
      <c r="J453" s="7"/>
      <c r="M453" s="8"/>
      <c r="N453" s="0" t="str">
        <f aca="false">IF(C453="","",IF(AND(ISNUMBER(FIND("@",C453)),ISNUMBER(FIND(".",C453,FIND("@",C453))),ISERROR(FIND(" ",C453))),"OK","INVALID"))</f>
        <v/>
      </c>
      <c r="O453" s="0" t="str">
        <f aca="false">IF(C453="","",IF(COUNTIF($C$2:$C$500,C453)&gt;1,"DUPLICATE","OK"))</f>
        <v/>
      </c>
    </row>
    <row r="454" customFormat="false" ht="15" hidden="false" customHeight="false" outlineLevel="0" collapsed="false">
      <c r="I454" s="7"/>
      <c r="J454" s="7"/>
      <c r="M454" s="8"/>
      <c r="N454" s="0" t="str">
        <f aca="false">IF(C454="","",IF(AND(ISNUMBER(FIND("@",C454)),ISNUMBER(FIND(".",C454,FIND("@",C454))),ISERROR(FIND(" ",C454))),"OK","INVALID"))</f>
        <v/>
      </c>
      <c r="O454" s="0" t="str">
        <f aca="false">IF(C454="","",IF(COUNTIF($C$2:$C$500,C454)&gt;1,"DUPLICATE","OK"))</f>
        <v/>
      </c>
    </row>
    <row r="455" customFormat="false" ht="15" hidden="false" customHeight="false" outlineLevel="0" collapsed="false">
      <c r="I455" s="7"/>
      <c r="J455" s="7"/>
      <c r="M455" s="8"/>
      <c r="N455" s="0" t="str">
        <f aca="false">IF(C455="","",IF(AND(ISNUMBER(FIND("@",C455)),ISNUMBER(FIND(".",C455,FIND("@",C455))),ISERROR(FIND(" ",C455))),"OK","INVALID"))</f>
        <v/>
      </c>
      <c r="O455" s="0" t="str">
        <f aca="false">IF(C455="","",IF(COUNTIF($C$2:$C$500,C455)&gt;1,"DUPLICATE","OK"))</f>
        <v/>
      </c>
    </row>
    <row r="456" customFormat="false" ht="15" hidden="false" customHeight="false" outlineLevel="0" collapsed="false">
      <c r="I456" s="7"/>
      <c r="J456" s="7"/>
      <c r="M456" s="8"/>
      <c r="N456" s="0" t="str">
        <f aca="false">IF(C456="","",IF(AND(ISNUMBER(FIND("@",C456)),ISNUMBER(FIND(".",C456,FIND("@",C456))),ISERROR(FIND(" ",C456))),"OK","INVALID"))</f>
        <v/>
      </c>
      <c r="O456" s="0" t="str">
        <f aca="false">IF(C456="","",IF(COUNTIF($C$2:$C$500,C456)&gt;1,"DUPLICATE","OK"))</f>
        <v/>
      </c>
    </row>
    <row r="457" customFormat="false" ht="15" hidden="false" customHeight="false" outlineLevel="0" collapsed="false">
      <c r="I457" s="7"/>
      <c r="J457" s="7"/>
      <c r="M457" s="8"/>
      <c r="N457" s="0" t="str">
        <f aca="false">IF(C457="","",IF(AND(ISNUMBER(FIND("@",C457)),ISNUMBER(FIND(".",C457,FIND("@",C457))),ISERROR(FIND(" ",C457))),"OK","INVALID"))</f>
        <v/>
      </c>
      <c r="O457" s="0" t="str">
        <f aca="false">IF(C457="","",IF(COUNTIF($C$2:$C$500,C457)&gt;1,"DUPLICATE","OK"))</f>
        <v/>
      </c>
    </row>
    <row r="458" customFormat="false" ht="15" hidden="false" customHeight="false" outlineLevel="0" collapsed="false">
      <c r="I458" s="7"/>
      <c r="J458" s="7"/>
      <c r="M458" s="8"/>
      <c r="N458" s="0" t="str">
        <f aca="false">IF(C458="","",IF(AND(ISNUMBER(FIND("@",C458)),ISNUMBER(FIND(".",C458,FIND("@",C458))),ISERROR(FIND(" ",C458))),"OK","INVALID"))</f>
        <v/>
      </c>
      <c r="O458" s="0" t="str">
        <f aca="false">IF(C458="","",IF(COUNTIF($C$2:$C$500,C458)&gt;1,"DUPLICATE","OK"))</f>
        <v/>
      </c>
    </row>
    <row r="459" customFormat="false" ht="15" hidden="false" customHeight="false" outlineLevel="0" collapsed="false">
      <c r="I459" s="7"/>
      <c r="J459" s="7"/>
      <c r="M459" s="8"/>
      <c r="N459" s="0" t="str">
        <f aca="false">IF(C459="","",IF(AND(ISNUMBER(FIND("@",C459)),ISNUMBER(FIND(".",C459,FIND("@",C459))),ISERROR(FIND(" ",C459))),"OK","INVALID"))</f>
        <v/>
      </c>
      <c r="O459" s="0" t="str">
        <f aca="false">IF(C459="","",IF(COUNTIF($C$2:$C$500,C459)&gt;1,"DUPLICATE","OK"))</f>
        <v/>
      </c>
    </row>
    <row r="460" customFormat="false" ht="15" hidden="false" customHeight="false" outlineLevel="0" collapsed="false">
      <c r="I460" s="7"/>
      <c r="J460" s="7"/>
      <c r="M460" s="8"/>
      <c r="N460" s="0" t="str">
        <f aca="false">IF(C460="","",IF(AND(ISNUMBER(FIND("@",C460)),ISNUMBER(FIND(".",C460,FIND("@",C460))),ISERROR(FIND(" ",C460))),"OK","INVALID"))</f>
        <v/>
      </c>
      <c r="O460" s="0" t="str">
        <f aca="false">IF(C460="","",IF(COUNTIF($C$2:$C$500,C460)&gt;1,"DUPLICATE","OK"))</f>
        <v/>
      </c>
    </row>
    <row r="461" customFormat="false" ht="15" hidden="false" customHeight="false" outlineLevel="0" collapsed="false">
      <c r="I461" s="7"/>
      <c r="J461" s="7"/>
      <c r="M461" s="8"/>
      <c r="N461" s="0" t="str">
        <f aca="false">IF(C461="","",IF(AND(ISNUMBER(FIND("@",C461)),ISNUMBER(FIND(".",C461,FIND("@",C461))),ISERROR(FIND(" ",C461))),"OK","INVALID"))</f>
        <v/>
      </c>
      <c r="O461" s="0" t="str">
        <f aca="false">IF(C461="","",IF(COUNTIF($C$2:$C$500,C461)&gt;1,"DUPLICATE","OK"))</f>
        <v/>
      </c>
    </row>
    <row r="462" customFormat="false" ht="15" hidden="false" customHeight="false" outlineLevel="0" collapsed="false">
      <c r="I462" s="7"/>
      <c r="J462" s="7"/>
      <c r="M462" s="8"/>
      <c r="N462" s="0" t="str">
        <f aca="false">IF(C462="","",IF(AND(ISNUMBER(FIND("@",C462)),ISNUMBER(FIND(".",C462,FIND("@",C462))),ISERROR(FIND(" ",C462))),"OK","INVALID"))</f>
        <v/>
      </c>
      <c r="O462" s="0" t="str">
        <f aca="false">IF(C462="","",IF(COUNTIF($C$2:$C$500,C462)&gt;1,"DUPLICATE","OK"))</f>
        <v/>
      </c>
    </row>
    <row r="463" customFormat="false" ht="15" hidden="false" customHeight="false" outlineLevel="0" collapsed="false">
      <c r="I463" s="7"/>
      <c r="J463" s="7"/>
      <c r="M463" s="8"/>
      <c r="N463" s="0" t="str">
        <f aca="false">IF(C463="","",IF(AND(ISNUMBER(FIND("@",C463)),ISNUMBER(FIND(".",C463,FIND("@",C463))),ISERROR(FIND(" ",C463))),"OK","INVALID"))</f>
        <v/>
      </c>
      <c r="O463" s="0" t="str">
        <f aca="false">IF(C463="","",IF(COUNTIF($C$2:$C$500,C463)&gt;1,"DUPLICATE","OK"))</f>
        <v/>
      </c>
    </row>
    <row r="464" customFormat="false" ht="15" hidden="false" customHeight="false" outlineLevel="0" collapsed="false">
      <c r="I464" s="7"/>
      <c r="J464" s="7"/>
      <c r="M464" s="8"/>
      <c r="N464" s="0" t="str">
        <f aca="false">IF(C464="","",IF(AND(ISNUMBER(FIND("@",C464)),ISNUMBER(FIND(".",C464,FIND("@",C464))),ISERROR(FIND(" ",C464))),"OK","INVALID"))</f>
        <v/>
      </c>
      <c r="O464" s="0" t="str">
        <f aca="false">IF(C464="","",IF(COUNTIF($C$2:$C$500,C464)&gt;1,"DUPLICATE","OK"))</f>
        <v/>
      </c>
    </row>
    <row r="465" customFormat="false" ht="15" hidden="false" customHeight="false" outlineLevel="0" collapsed="false">
      <c r="I465" s="7"/>
      <c r="J465" s="7"/>
      <c r="M465" s="8"/>
      <c r="N465" s="0" t="str">
        <f aca="false">IF(C465="","",IF(AND(ISNUMBER(FIND("@",C465)),ISNUMBER(FIND(".",C465,FIND("@",C465))),ISERROR(FIND(" ",C465))),"OK","INVALID"))</f>
        <v/>
      </c>
      <c r="O465" s="0" t="str">
        <f aca="false">IF(C465="","",IF(COUNTIF($C$2:$C$500,C465)&gt;1,"DUPLICATE","OK"))</f>
        <v/>
      </c>
    </row>
    <row r="466" customFormat="false" ht="15" hidden="false" customHeight="false" outlineLevel="0" collapsed="false">
      <c r="I466" s="7"/>
      <c r="J466" s="7"/>
      <c r="M466" s="8"/>
      <c r="N466" s="0" t="str">
        <f aca="false">IF(C466="","",IF(AND(ISNUMBER(FIND("@",C466)),ISNUMBER(FIND(".",C466,FIND("@",C466))),ISERROR(FIND(" ",C466))),"OK","INVALID"))</f>
        <v/>
      </c>
      <c r="O466" s="0" t="str">
        <f aca="false">IF(C466="","",IF(COUNTIF($C$2:$C$500,C466)&gt;1,"DUPLICATE","OK"))</f>
        <v/>
      </c>
    </row>
    <row r="467" customFormat="false" ht="15" hidden="false" customHeight="false" outlineLevel="0" collapsed="false">
      <c r="I467" s="7"/>
      <c r="J467" s="7"/>
      <c r="M467" s="8"/>
      <c r="N467" s="0" t="str">
        <f aca="false">IF(C467="","",IF(AND(ISNUMBER(FIND("@",C467)),ISNUMBER(FIND(".",C467,FIND("@",C467))),ISERROR(FIND(" ",C467))),"OK","INVALID"))</f>
        <v/>
      </c>
      <c r="O467" s="0" t="str">
        <f aca="false">IF(C467="","",IF(COUNTIF($C$2:$C$500,C467)&gt;1,"DUPLICATE","OK"))</f>
        <v/>
      </c>
    </row>
    <row r="468" customFormat="false" ht="15" hidden="false" customHeight="false" outlineLevel="0" collapsed="false">
      <c r="I468" s="7"/>
      <c r="J468" s="7"/>
      <c r="M468" s="8"/>
      <c r="N468" s="0" t="str">
        <f aca="false">IF(C468="","",IF(AND(ISNUMBER(FIND("@",C468)),ISNUMBER(FIND(".",C468,FIND("@",C468))),ISERROR(FIND(" ",C468))),"OK","INVALID"))</f>
        <v/>
      </c>
      <c r="O468" s="0" t="str">
        <f aca="false">IF(C468="","",IF(COUNTIF($C$2:$C$500,C468)&gt;1,"DUPLICATE","OK"))</f>
        <v/>
      </c>
    </row>
    <row r="469" customFormat="false" ht="15" hidden="false" customHeight="false" outlineLevel="0" collapsed="false">
      <c r="I469" s="7"/>
      <c r="J469" s="7"/>
      <c r="M469" s="8"/>
      <c r="N469" s="0" t="str">
        <f aca="false">IF(C469="","",IF(AND(ISNUMBER(FIND("@",C469)),ISNUMBER(FIND(".",C469,FIND("@",C469))),ISERROR(FIND(" ",C469))),"OK","INVALID"))</f>
        <v/>
      </c>
      <c r="O469" s="0" t="str">
        <f aca="false">IF(C469="","",IF(COUNTIF($C$2:$C$500,C469)&gt;1,"DUPLICATE","OK"))</f>
        <v/>
      </c>
    </row>
    <row r="470" customFormat="false" ht="15" hidden="false" customHeight="false" outlineLevel="0" collapsed="false">
      <c r="I470" s="7"/>
      <c r="J470" s="7"/>
      <c r="M470" s="8"/>
      <c r="N470" s="0" t="str">
        <f aca="false">IF(C470="","",IF(AND(ISNUMBER(FIND("@",C470)),ISNUMBER(FIND(".",C470,FIND("@",C470))),ISERROR(FIND(" ",C470))),"OK","INVALID"))</f>
        <v/>
      </c>
      <c r="O470" s="0" t="str">
        <f aca="false">IF(C470="","",IF(COUNTIF($C$2:$C$500,C470)&gt;1,"DUPLICATE","OK"))</f>
        <v/>
      </c>
    </row>
    <row r="471" customFormat="false" ht="15" hidden="false" customHeight="false" outlineLevel="0" collapsed="false">
      <c r="I471" s="7"/>
      <c r="J471" s="7"/>
      <c r="M471" s="8"/>
      <c r="N471" s="0" t="str">
        <f aca="false">IF(C471="","",IF(AND(ISNUMBER(FIND("@",C471)),ISNUMBER(FIND(".",C471,FIND("@",C471))),ISERROR(FIND(" ",C471))),"OK","INVALID"))</f>
        <v/>
      </c>
      <c r="O471" s="0" t="str">
        <f aca="false">IF(C471="","",IF(COUNTIF($C$2:$C$500,C471)&gt;1,"DUPLICATE","OK"))</f>
        <v/>
      </c>
    </row>
    <row r="472" customFormat="false" ht="15" hidden="false" customHeight="false" outlineLevel="0" collapsed="false">
      <c r="I472" s="7"/>
      <c r="J472" s="7"/>
      <c r="M472" s="8"/>
      <c r="N472" s="0" t="str">
        <f aca="false">IF(C472="","",IF(AND(ISNUMBER(FIND("@",C472)),ISNUMBER(FIND(".",C472,FIND("@",C472))),ISERROR(FIND(" ",C472))),"OK","INVALID"))</f>
        <v/>
      </c>
      <c r="O472" s="0" t="str">
        <f aca="false">IF(C472="","",IF(COUNTIF($C$2:$C$500,C472)&gt;1,"DUPLICATE","OK"))</f>
        <v/>
      </c>
    </row>
    <row r="473" customFormat="false" ht="15" hidden="false" customHeight="false" outlineLevel="0" collapsed="false">
      <c r="I473" s="7"/>
      <c r="J473" s="7"/>
      <c r="M473" s="8"/>
      <c r="N473" s="0" t="str">
        <f aca="false">IF(C473="","",IF(AND(ISNUMBER(FIND("@",C473)),ISNUMBER(FIND(".",C473,FIND("@",C473))),ISERROR(FIND(" ",C473))),"OK","INVALID"))</f>
        <v/>
      </c>
      <c r="O473" s="0" t="str">
        <f aca="false">IF(C473="","",IF(COUNTIF($C$2:$C$500,C473)&gt;1,"DUPLICATE","OK"))</f>
        <v/>
      </c>
    </row>
    <row r="474" customFormat="false" ht="15" hidden="false" customHeight="false" outlineLevel="0" collapsed="false">
      <c r="I474" s="7"/>
      <c r="J474" s="7"/>
      <c r="M474" s="8"/>
      <c r="N474" s="0" t="str">
        <f aca="false">IF(C474="","",IF(AND(ISNUMBER(FIND("@",C474)),ISNUMBER(FIND(".",C474,FIND("@",C474))),ISERROR(FIND(" ",C474))),"OK","INVALID"))</f>
        <v/>
      </c>
      <c r="O474" s="0" t="str">
        <f aca="false">IF(C474="","",IF(COUNTIF($C$2:$C$500,C474)&gt;1,"DUPLICATE","OK"))</f>
        <v/>
      </c>
    </row>
    <row r="475" customFormat="false" ht="15" hidden="false" customHeight="false" outlineLevel="0" collapsed="false">
      <c r="I475" s="7"/>
      <c r="J475" s="7"/>
      <c r="M475" s="8"/>
      <c r="N475" s="0" t="str">
        <f aca="false">IF(C475="","",IF(AND(ISNUMBER(FIND("@",C475)),ISNUMBER(FIND(".",C475,FIND("@",C475))),ISERROR(FIND(" ",C475))),"OK","INVALID"))</f>
        <v/>
      </c>
      <c r="O475" s="0" t="str">
        <f aca="false">IF(C475="","",IF(COUNTIF($C$2:$C$500,C475)&gt;1,"DUPLICATE","OK"))</f>
        <v/>
      </c>
    </row>
    <row r="476" customFormat="false" ht="15" hidden="false" customHeight="false" outlineLevel="0" collapsed="false">
      <c r="I476" s="7"/>
      <c r="J476" s="7"/>
      <c r="M476" s="8"/>
      <c r="N476" s="0" t="str">
        <f aca="false">IF(C476="","",IF(AND(ISNUMBER(FIND("@",C476)),ISNUMBER(FIND(".",C476,FIND("@",C476))),ISERROR(FIND(" ",C476))),"OK","INVALID"))</f>
        <v/>
      </c>
      <c r="O476" s="0" t="str">
        <f aca="false">IF(C476="","",IF(COUNTIF($C$2:$C$500,C476)&gt;1,"DUPLICATE","OK"))</f>
        <v/>
      </c>
    </row>
    <row r="477" customFormat="false" ht="15" hidden="false" customHeight="false" outlineLevel="0" collapsed="false">
      <c r="I477" s="7"/>
      <c r="J477" s="7"/>
      <c r="M477" s="8"/>
      <c r="N477" s="0" t="str">
        <f aca="false">IF(C477="","",IF(AND(ISNUMBER(FIND("@",C477)),ISNUMBER(FIND(".",C477,FIND("@",C477))),ISERROR(FIND(" ",C477))),"OK","INVALID"))</f>
        <v/>
      </c>
      <c r="O477" s="0" t="str">
        <f aca="false">IF(C477="","",IF(COUNTIF($C$2:$C$500,C477)&gt;1,"DUPLICATE","OK"))</f>
        <v/>
      </c>
    </row>
    <row r="478" customFormat="false" ht="15" hidden="false" customHeight="false" outlineLevel="0" collapsed="false">
      <c r="I478" s="7"/>
      <c r="J478" s="7"/>
      <c r="M478" s="8"/>
      <c r="N478" s="0" t="str">
        <f aca="false">IF(C478="","",IF(AND(ISNUMBER(FIND("@",C478)),ISNUMBER(FIND(".",C478,FIND("@",C478))),ISERROR(FIND(" ",C478))),"OK","INVALID"))</f>
        <v/>
      </c>
      <c r="O478" s="0" t="str">
        <f aca="false">IF(C478="","",IF(COUNTIF($C$2:$C$500,C478)&gt;1,"DUPLICATE","OK"))</f>
        <v/>
      </c>
    </row>
    <row r="479" customFormat="false" ht="15" hidden="false" customHeight="false" outlineLevel="0" collapsed="false">
      <c r="I479" s="7"/>
      <c r="J479" s="7"/>
      <c r="M479" s="8"/>
      <c r="N479" s="0" t="str">
        <f aca="false">IF(C479="","",IF(AND(ISNUMBER(FIND("@",C479)),ISNUMBER(FIND(".",C479,FIND("@",C479))),ISERROR(FIND(" ",C479))),"OK","INVALID"))</f>
        <v/>
      </c>
      <c r="O479" s="0" t="str">
        <f aca="false">IF(C479="","",IF(COUNTIF($C$2:$C$500,C479)&gt;1,"DUPLICATE","OK"))</f>
        <v/>
      </c>
    </row>
    <row r="480" customFormat="false" ht="15" hidden="false" customHeight="false" outlineLevel="0" collapsed="false">
      <c r="I480" s="7"/>
      <c r="J480" s="7"/>
      <c r="M480" s="8"/>
      <c r="N480" s="0" t="str">
        <f aca="false">IF(C480="","",IF(AND(ISNUMBER(FIND("@",C480)),ISNUMBER(FIND(".",C480,FIND("@",C480))),ISERROR(FIND(" ",C480))),"OK","INVALID"))</f>
        <v/>
      </c>
      <c r="O480" s="0" t="str">
        <f aca="false">IF(C480="","",IF(COUNTIF($C$2:$C$500,C480)&gt;1,"DUPLICATE","OK"))</f>
        <v/>
      </c>
    </row>
    <row r="481" customFormat="false" ht="15" hidden="false" customHeight="false" outlineLevel="0" collapsed="false">
      <c r="I481" s="7"/>
      <c r="J481" s="7"/>
      <c r="M481" s="8"/>
      <c r="N481" s="0" t="str">
        <f aca="false">IF(C481="","",IF(AND(ISNUMBER(FIND("@",C481)),ISNUMBER(FIND(".",C481,FIND("@",C481))),ISERROR(FIND(" ",C481))),"OK","INVALID"))</f>
        <v/>
      </c>
      <c r="O481" s="0" t="str">
        <f aca="false">IF(C481="","",IF(COUNTIF($C$2:$C$500,C481)&gt;1,"DUPLICATE","OK"))</f>
        <v/>
      </c>
    </row>
    <row r="482" customFormat="false" ht="15" hidden="false" customHeight="false" outlineLevel="0" collapsed="false">
      <c r="I482" s="7"/>
      <c r="J482" s="7"/>
      <c r="M482" s="8"/>
      <c r="N482" s="0" t="str">
        <f aca="false">IF(C482="","",IF(AND(ISNUMBER(FIND("@",C482)),ISNUMBER(FIND(".",C482,FIND("@",C482))),ISERROR(FIND(" ",C482))),"OK","INVALID"))</f>
        <v/>
      </c>
      <c r="O482" s="0" t="str">
        <f aca="false">IF(C482="","",IF(COUNTIF($C$2:$C$500,C482)&gt;1,"DUPLICATE","OK"))</f>
        <v/>
      </c>
    </row>
    <row r="483" customFormat="false" ht="15" hidden="false" customHeight="false" outlineLevel="0" collapsed="false">
      <c r="I483" s="7"/>
      <c r="J483" s="7"/>
      <c r="M483" s="8"/>
      <c r="N483" s="0" t="str">
        <f aca="false">IF(C483="","",IF(AND(ISNUMBER(FIND("@",C483)),ISNUMBER(FIND(".",C483,FIND("@",C483))),ISERROR(FIND(" ",C483))),"OK","INVALID"))</f>
        <v/>
      </c>
      <c r="O483" s="0" t="str">
        <f aca="false">IF(C483="","",IF(COUNTIF($C$2:$C$500,C483)&gt;1,"DUPLICATE","OK"))</f>
        <v/>
      </c>
    </row>
    <row r="484" customFormat="false" ht="15" hidden="false" customHeight="false" outlineLevel="0" collapsed="false">
      <c r="I484" s="7"/>
      <c r="J484" s="7"/>
      <c r="M484" s="8"/>
      <c r="N484" s="0" t="str">
        <f aca="false">IF(C484="","",IF(AND(ISNUMBER(FIND("@",C484)),ISNUMBER(FIND(".",C484,FIND("@",C484))),ISERROR(FIND(" ",C484))),"OK","INVALID"))</f>
        <v/>
      </c>
      <c r="O484" s="0" t="str">
        <f aca="false">IF(C484="","",IF(COUNTIF($C$2:$C$500,C484)&gt;1,"DUPLICATE","OK"))</f>
        <v/>
      </c>
    </row>
    <row r="485" customFormat="false" ht="15" hidden="false" customHeight="false" outlineLevel="0" collapsed="false">
      <c r="I485" s="7"/>
      <c r="J485" s="7"/>
      <c r="M485" s="8"/>
      <c r="N485" s="0" t="str">
        <f aca="false">IF(C485="","",IF(AND(ISNUMBER(FIND("@",C485)),ISNUMBER(FIND(".",C485,FIND("@",C485))),ISERROR(FIND(" ",C485))),"OK","INVALID"))</f>
        <v/>
      </c>
      <c r="O485" s="0" t="str">
        <f aca="false">IF(C485="","",IF(COUNTIF($C$2:$C$500,C485)&gt;1,"DUPLICATE","OK"))</f>
        <v/>
      </c>
    </row>
    <row r="486" customFormat="false" ht="15" hidden="false" customHeight="false" outlineLevel="0" collapsed="false">
      <c r="I486" s="7"/>
      <c r="J486" s="7"/>
      <c r="M486" s="8"/>
      <c r="N486" s="0" t="str">
        <f aca="false">IF(C486="","",IF(AND(ISNUMBER(FIND("@",C486)),ISNUMBER(FIND(".",C486,FIND("@",C486))),ISERROR(FIND(" ",C486))),"OK","INVALID"))</f>
        <v/>
      </c>
      <c r="O486" s="0" t="str">
        <f aca="false">IF(C486="","",IF(COUNTIF($C$2:$C$500,C486)&gt;1,"DUPLICATE","OK"))</f>
        <v/>
      </c>
    </row>
    <row r="487" customFormat="false" ht="15" hidden="false" customHeight="false" outlineLevel="0" collapsed="false">
      <c r="I487" s="7"/>
      <c r="J487" s="7"/>
      <c r="M487" s="8"/>
      <c r="N487" s="0" t="str">
        <f aca="false">IF(C487="","",IF(AND(ISNUMBER(FIND("@",C487)),ISNUMBER(FIND(".",C487,FIND("@",C487))),ISERROR(FIND(" ",C487))),"OK","INVALID"))</f>
        <v/>
      </c>
      <c r="O487" s="0" t="str">
        <f aca="false">IF(C487="","",IF(COUNTIF($C$2:$C$500,C487)&gt;1,"DUPLICATE","OK"))</f>
        <v/>
      </c>
    </row>
    <row r="488" customFormat="false" ht="15" hidden="false" customHeight="false" outlineLevel="0" collapsed="false">
      <c r="I488" s="7"/>
      <c r="J488" s="7"/>
      <c r="M488" s="8"/>
      <c r="N488" s="0" t="str">
        <f aca="false">IF(C488="","",IF(AND(ISNUMBER(FIND("@",C488)),ISNUMBER(FIND(".",C488,FIND("@",C488))),ISERROR(FIND(" ",C488))),"OK","INVALID"))</f>
        <v/>
      </c>
      <c r="O488" s="0" t="str">
        <f aca="false">IF(C488="","",IF(COUNTIF($C$2:$C$500,C488)&gt;1,"DUPLICATE","OK"))</f>
        <v/>
      </c>
    </row>
    <row r="489" customFormat="false" ht="15" hidden="false" customHeight="false" outlineLevel="0" collapsed="false">
      <c r="I489" s="7"/>
      <c r="J489" s="7"/>
      <c r="M489" s="8"/>
      <c r="N489" s="0" t="str">
        <f aca="false">IF(C489="","",IF(AND(ISNUMBER(FIND("@",C489)),ISNUMBER(FIND(".",C489,FIND("@",C489))),ISERROR(FIND(" ",C489))),"OK","INVALID"))</f>
        <v/>
      </c>
      <c r="O489" s="0" t="str">
        <f aca="false">IF(C489="","",IF(COUNTIF($C$2:$C$500,C489)&gt;1,"DUPLICATE","OK"))</f>
        <v/>
      </c>
    </row>
    <row r="490" customFormat="false" ht="15" hidden="false" customHeight="false" outlineLevel="0" collapsed="false">
      <c r="I490" s="7"/>
      <c r="J490" s="7"/>
      <c r="M490" s="8"/>
      <c r="N490" s="0" t="str">
        <f aca="false">IF(C490="","",IF(AND(ISNUMBER(FIND("@",C490)),ISNUMBER(FIND(".",C490,FIND("@",C490))),ISERROR(FIND(" ",C490))),"OK","INVALID"))</f>
        <v/>
      </c>
      <c r="O490" s="0" t="str">
        <f aca="false">IF(C490="","",IF(COUNTIF($C$2:$C$500,C490)&gt;1,"DUPLICATE","OK"))</f>
        <v/>
      </c>
    </row>
    <row r="491" customFormat="false" ht="15" hidden="false" customHeight="false" outlineLevel="0" collapsed="false">
      <c r="I491" s="7"/>
      <c r="J491" s="7"/>
      <c r="M491" s="8"/>
      <c r="N491" s="0" t="str">
        <f aca="false">IF(C491="","",IF(AND(ISNUMBER(FIND("@",C491)),ISNUMBER(FIND(".",C491,FIND("@",C491))),ISERROR(FIND(" ",C491))),"OK","INVALID"))</f>
        <v/>
      </c>
      <c r="O491" s="0" t="str">
        <f aca="false">IF(C491="","",IF(COUNTIF($C$2:$C$500,C491)&gt;1,"DUPLICATE","OK"))</f>
        <v/>
      </c>
    </row>
    <row r="492" customFormat="false" ht="15" hidden="false" customHeight="false" outlineLevel="0" collapsed="false">
      <c r="I492" s="7"/>
      <c r="J492" s="7"/>
      <c r="M492" s="8"/>
      <c r="N492" s="0" t="str">
        <f aca="false">IF(C492="","",IF(AND(ISNUMBER(FIND("@",C492)),ISNUMBER(FIND(".",C492,FIND("@",C492))),ISERROR(FIND(" ",C492))),"OK","INVALID"))</f>
        <v/>
      </c>
      <c r="O492" s="0" t="str">
        <f aca="false">IF(C492="","",IF(COUNTIF($C$2:$C$500,C492)&gt;1,"DUPLICATE","OK"))</f>
        <v/>
      </c>
    </row>
    <row r="493" customFormat="false" ht="15" hidden="false" customHeight="false" outlineLevel="0" collapsed="false">
      <c r="I493" s="7"/>
      <c r="J493" s="7"/>
      <c r="M493" s="8"/>
      <c r="N493" s="0" t="str">
        <f aca="false">IF(C493="","",IF(AND(ISNUMBER(FIND("@",C493)),ISNUMBER(FIND(".",C493,FIND("@",C493))),ISERROR(FIND(" ",C493))),"OK","INVALID"))</f>
        <v/>
      </c>
      <c r="O493" s="0" t="str">
        <f aca="false">IF(C493="","",IF(COUNTIF($C$2:$C$500,C493)&gt;1,"DUPLICATE","OK"))</f>
        <v/>
      </c>
    </row>
    <row r="494" customFormat="false" ht="15" hidden="false" customHeight="false" outlineLevel="0" collapsed="false">
      <c r="I494" s="7"/>
      <c r="J494" s="7"/>
      <c r="M494" s="8"/>
      <c r="N494" s="0" t="str">
        <f aca="false">IF(C494="","",IF(AND(ISNUMBER(FIND("@",C494)),ISNUMBER(FIND(".",C494,FIND("@",C494))),ISERROR(FIND(" ",C494))),"OK","INVALID"))</f>
        <v/>
      </c>
      <c r="O494" s="0" t="str">
        <f aca="false">IF(C494="","",IF(COUNTIF($C$2:$C$500,C494)&gt;1,"DUPLICATE","OK"))</f>
        <v/>
      </c>
    </row>
    <row r="495" customFormat="false" ht="15" hidden="false" customHeight="false" outlineLevel="0" collapsed="false">
      <c r="I495" s="7"/>
      <c r="J495" s="7"/>
      <c r="M495" s="8"/>
      <c r="N495" s="0" t="str">
        <f aca="false">IF(C495="","",IF(AND(ISNUMBER(FIND("@",C495)),ISNUMBER(FIND(".",C495,FIND("@",C495))),ISERROR(FIND(" ",C495))),"OK","INVALID"))</f>
        <v/>
      </c>
      <c r="O495" s="0" t="str">
        <f aca="false">IF(C495="","",IF(COUNTIF($C$2:$C$500,C495)&gt;1,"DUPLICATE","OK"))</f>
        <v/>
      </c>
    </row>
    <row r="496" customFormat="false" ht="15" hidden="false" customHeight="false" outlineLevel="0" collapsed="false">
      <c r="I496" s="7"/>
      <c r="J496" s="7"/>
      <c r="M496" s="8"/>
      <c r="N496" s="0" t="str">
        <f aca="false">IF(C496="","",IF(AND(ISNUMBER(FIND("@",C496)),ISNUMBER(FIND(".",C496,FIND("@",C496))),ISERROR(FIND(" ",C496))),"OK","INVALID"))</f>
        <v/>
      </c>
      <c r="O496" s="0" t="str">
        <f aca="false">IF(C496="","",IF(COUNTIF($C$2:$C$500,C496)&gt;1,"DUPLICATE","OK"))</f>
        <v/>
      </c>
    </row>
    <row r="497" customFormat="false" ht="15" hidden="false" customHeight="false" outlineLevel="0" collapsed="false">
      <c r="I497" s="7"/>
      <c r="J497" s="7"/>
      <c r="M497" s="8"/>
      <c r="N497" s="0" t="str">
        <f aca="false">IF(C497="","",IF(AND(ISNUMBER(FIND("@",C497)),ISNUMBER(FIND(".",C497,FIND("@",C497))),ISERROR(FIND(" ",C497))),"OK","INVALID"))</f>
        <v/>
      </c>
      <c r="O497" s="0" t="str">
        <f aca="false">IF(C497="","",IF(COUNTIF($C$2:$C$500,C497)&gt;1,"DUPLICATE","OK"))</f>
        <v/>
      </c>
    </row>
    <row r="498" customFormat="false" ht="15" hidden="false" customHeight="false" outlineLevel="0" collapsed="false">
      <c r="I498" s="7"/>
      <c r="J498" s="7"/>
      <c r="M498" s="8"/>
      <c r="N498" s="0" t="str">
        <f aca="false">IF(C498="","",IF(AND(ISNUMBER(FIND("@",C498)),ISNUMBER(FIND(".",C498,FIND("@",C498))),ISERROR(FIND(" ",C498))),"OK","INVALID"))</f>
        <v/>
      </c>
      <c r="O498" s="0" t="str">
        <f aca="false">IF(C498="","",IF(COUNTIF($C$2:$C$500,C498)&gt;1,"DUPLICATE","OK"))</f>
        <v/>
      </c>
    </row>
    <row r="499" customFormat="false" ht="15" hidden="false" customHeight="false" outlineLevel="0" collapsed="false">
      <c r="I499" s="7"/>
      <c r="J499" s="7"/>
      <c r="M499" s="8"/>
      <c r="N499" s="0" t="str">
        <f aca="false">IF(C499="","",IF(AND(ISNUMBER(FIND("@",C499)),ISNUMBER(FIND(".",C499,FIND("@",C499))),ISERROR(FIND(" ",C499))),"OK","INVALID"))</f>
        <v/>
      </c>
      <c r="O499" s="0" t="str">
        <f aca="false">IF(C499="","",IF(COUNTIF($C$2:$C$500,C499)&gt;1,"DUPLICATE","OK"))</f>
        <v/>
      </c>
    </row>
    <row r="500" customFormat="false" ht="15" hidden="false" customHeight="false" outlineLevel="0" collapsed="false">
      <c r="I500" s="7"/>
      <c r="J500" s="7"/>
      <c r="M500" s="8"/>
      <c r="N500" s="0" t="str">
        <f aca="false">IF(C500="","",IF(AND(ISNUMBER(FIND("@",C500)),ISNUMBER(FIND(".",C500,FIND("@",C500))),ISERROR(FIND(" ",C500))),"OK","INVALID"))</f>
        <v/>
      </c>
      <c r="O500" s="0" t="str">
        <f aca="false">IF(C500="","",IF(COUNTIF($C$2:$C$500,C500)&gt;1,"DUPLICATE","OK"))</f>
        <v/>
      </c>
    </row>
    <row r="501" customFormat="false" ht="15" hidden="false" customHeight="false" outlineLevel="0" collapsed="false">
      <c r="I501" s="7"/>
      <c r="J501" s="7"/>
      <c r="N501" s="0" t="str">
        <f aca="false">IF(C501="","",IF(AND(ISNUMBER(FIND("@",C501)),ISNUMBER(FIND(".",C501,FIND("@",C501))),ISERROR(FIND(" ",C501))),"OK","INVALID"))</f>
        <v/>
      </c>
      <c r="O501" s="0" t="str">
        <f aca="false">IF(C501="","",IF(COUNTIF($C$2:$C$500,C501)&gt;1,"DUPLICATE","OK"))</f>
        <v/>
      </c>
    </row>
  </sheetData>
  <dataValidations count="1">
    <dataValidation allowBlank="true" errorStyle="stop" operator="between" showDropDown="false" showErrorMessage="false" showInputMessage="false" sqref="M2:M500" type="list">
      <formula1>"Active,Completed,Withdrawn,On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11" min="5" style="0" width="16"/>
    <col collapsed="false" customWidth="true" hidden="false" outlineLevel="0" max="13" min="12" style="0" width="19"/>
    <col collapsed="false" customWidth="true" hidden="false" outlineLevel="0" max="14" min="14" style="0" width="16"/>
    <col collapsed="false" customWidth="true" hidden="false" outlineLevel="0" max="15" min="15" style="0" width="19"/>
    <col collapsed="false" customWidth="true" hidden="false" outlineLevel="0" max="16" min="16" style="0" width="23"/>
    <col collapsed="false" customWidth="true" hidden="false" outlineLevel="0" max="18" min="17" style="0" width="21"/>
    <col collapsed="false" customWidth="true" hidden="false" outlineLevel="0" max="19" min="19" style="0" width="19"/>
    <col collapsed="false" customWidth="true" hidden="false" outlineLevel="0" max="20" min="20" style="0" width="20"/>
    <col collapsed="false" customWidth="true" hidden="false" outlineLevel="0" max="21" min="21" style="0" width="24"/>
  </cols>
  <sheetData>
    <row r="1" customFormat="false" ht="31.5" hidden="false" customHeight="true" outlineLevel="0" collapsed="false">
      <c r="A1" s="5" t="s">
        <v>62</v>
      </c>
      <c r="B1" s="5" t="s">
        <v>24</v>
      </c>
      <c r="C1" s="5" t="s">
        <v>63</v>
      </c>
      <c r="D1" s="5" t="s">
        <v>64</v>
      </c>
      <c r="E1" s="5" t="s">
        <v>65</v>
      </c>
      <c r="F1" s="5" t="s">
        <v>32</v>
      </c>
      <c r="G1" s="5" t="s">
        <v>66</v>
      </c>
      <c r="H1" s="5" t="s">
        <v>67</v>
      </c>
      <c r="I1" s="5" t="s">
        <v>35</v>
      </c>
      <c r="J1" s="5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6" t="s">
        <v>75</v>
      </c>
      <c r="R1" s="6" t="s">
        <v>76</v>
      </c>
      <c r="S1" s="6" t="s">
        <v>77</v>
      </c>
      <c r="T1" s="6" t="s">
        <v>78</v>
      </c>
      <c r="U1" s="6" t="s">
        <v>79</v>
      </c>
    </row>
    <row r="2" customFormat="false" ht="15" hidden="false" customHeight="false" outlineLevel="0" collapsed="false">
      <c r="A2" s="0" t="s">
        <v>80</v>
      </c>
      <c r="B2" s="0" t="s">
        <v>39</v>
      </c>
      <c r="C2" s="0" t="s">
        <v>81</v>
      </c>
      <c r="D2" s="0" t="s">
        <v>82</v>
      </c>
      <c r="E2" s="0" t="s">
        <v>83</v>
      </c>
      <c r="F2" s="7" t="n">
        <v>46328</v>
      </c>
      <c r="G2" s="8" t="s">
        <v>84</v>
      </c>
      <c r="H2" s="9" t="n">
        <v>46335.7083333333</v>
      </c>
      <c r="I2" s="8" t="s">
        <v>48</v>
      </c>
      <c r="J2" s="8" t="s">
        <v>85</v>
      </c>
      <c r="K2" s="8" t="s">
        <v>86</v>
      </c>
      <c r="M2" s="9"/>
      <c r="P2" s="8" t="s">
        <v>87</v>
      </c>
      <c r="Q2" s="8" t="s">
        <v>88</v>
      </c>
      <c r="U2" s="0" t="str">
        <f aca="false">IF(A2="","",IF(AND(COUNTIF(Students!$A$2:$A$500,B2)=1,COUNTIF($A$2:$A$1000,A2)=1,ISNUMBER(H2),ISNUMBER(FIND("@",I2))),"OK","CHECK"))</f>
        <v>OK</v>
      </c>
    </row>
    <row r="3" customFormat="false" ht="15" hidden="false" customHeight="false" outlineLevel="0" collapsed="false">
      <c r="A3" s="0" t="s">
        <v>89</v>
      </c>
      <c r="B3" s="0" t="s">
        <v>50</v>
      </c>
      <c r="C3" s="0" t="s">
        <v>81</v>
      </c>
      <c r="D3" s="0" t="s">
        <v>82</v>
      </c>
      <c r="E3" s="0" t="s">
        <v>83</v>
      </c>
      <c r="F3" s="7" t="n">
        <v>46328</v>
      </c>
      <c r="G3" s="8" t="s">
        <v>84</v>
      </c>
      <c r="H3" s="9" t="n">
        <v>46335.7083333333</v>
      </c>
      <c r="I3" s="8" t="s">
        <v>48</v>
      </c>
      <c r="J3" s="8" t="s">
        <v>85</v>
      </c>
      <c r="K3" s="8" t="s">
        <v>86</v>
      </c>
      <c r="M3" s="9"/>
      <c r="P3" s="8" t="s">
        <v>87</v>
      </c>
      <c r="Q3" s="8" t="s">
        <v>88</v>
      </c>
      <c r="U3" s="0" t="str">
        <f aca="false">IF(A3="","",IF(AND(COUNTIF(Students!$A$2:$A$500,B3)=1,COUNTIF($A$2:$A$1000,A3)=1,ISNUMBER(H3),ISNUMBER(FIND("@",I3))),"OK","CHECK"))</f>
        <v>OK</v>
      </c>
    </row>
    <row r="4" customFormat="false" ht="15" hidden="false" customHeight="false" outlineLevel="0" collapsed="false">
      <c r="A4" s="0" t="s">
        <v>90</v>
      </c>
      <c r="B4" s="0" t="s">
        <v>56</v>
      </c>
      <c r="C4" s="0" t="s">
        <v>81</v>
      </c>
      <c r="D4" s="0" t="s">
        <v>82</v>
      </c>
      <c r="E4" s="0" t="s">
        <v>83</v>
      </c>
      <c r="F4" s="7" t="n">
        <v>46328</v>
      </c>
      <c r="G4" s="8" t="s">
        <v>84</v>
      </c>
      <c r="H4" s="9" t="n">
        <v>46335.7083333333</v>
      </c>
      <c r="I4" s="8" t="s">
        <v>48</v>
      </c>
      <c r="J4" s="8" t="s">
        <v>91</v>
      </c>
      <c r="K4" s="8" t="s">
        <v>86</v>
      </c>
      <c r="M4" s="9"/>
      <c r="P4" s="8" t="s">
        <v>87</v>
      </c>
      <c r="Q4" s="8" t="s">
        <v>92</v>
      </c>
      <c r="U4" s="0" t="str">
        <f aca="false">IF(A4="","",IF(AND(COUNTIF(Students!$A$2:$A$500,B4)=1,COUNTIF($A$2:$A$1000,A4)=1,ISNUMBER(H4),ISNUMBER(FIND("@",I4))),"OK","CHECK"))</f>
        <v>OK</v>
      </c>
    </row>
    <row r="5" customFormat="false" ht="15" hidden="false" customHeight="false" outlineLevel="0" collapsed="false">
      <c r="F5" s="7"/>
      <c r="H5" s="9"/>
      <c r="J5" s="8"/>
      <c r="K5" s="8"/>
      <c r="M5" s="9"/>
      <c r="P5" s="8"/>
      <c r="Q5" s="8"/>
      <c r="U5" s="0" t="str">
        <f aca="false">IF(A5="","",IF(AND(COUNTIF(Students!$A$2:$A$500,B5)=1,COUNTIF($A$2:$A$1000,A5)=1,ISNUMBER(H5),ISNUMBER(FIND("@",I5))),"OK","CHECK"))</f>
        <v/>
      </c>
    </row>
    <row r="6" customFormat="false" ht="15" hidden="false" customHeight="false" outlineLevel="0" collapsed="false">
      <c r="F6" s="7"/>
      <c r="H6" s="9"/>
      <c r="J6" s="8"/>
      <c r="K6" s="8"/>
      <c r="M6" s="9"/>
      <c r="P6" s="8"/>
      <c r="Q6" s="8"/>
      <c r="U6" s="0" t="str">
        <f aca="false">IF(A6="","",IF(AND(COUNTIF(Students!$A$2:$A$500,B6)=1,COUNTIF($A$2:$A$1000,A6)=1,ISNUMBER(H6),ISNUMBER(FIND("@",I6))),"OK","CHECK"))</f>
        <v/>
      </c>
    </row>
    <row r="7" customFormat="false" ht="15" hidden="false" customHeight="false" outlineLevel="0" collapsed="false">
      <c r="F7" s="7"/>
      <c r="H7" s="9"/>
      <c r="J7" s="8"/>
      <c r="K7" s="8"/>
      <c r="M7" s="9"/>
      <c r="P7" s="8"/>
      <c r="Q7" s="8"/>
      <c r="U7" s="0" t="str">
        <f aca="false">IF(A7="","",IF(AND(COUNTIF(Students!$A$2:$A$500,B7)=1,COUNTIF($A$2:$A$1000,A7)=1,ISNUMBER(H7),ISNUMBER(FIND("@",I7))),"OK","CHECK"))</f>
        <v/>
      </c>
    </row>
    <row r="8" customFormat="false" ht="15" hidden="false" customHeight="false" outlineLevel="0" collapsed="false">
      <c r="F8" s="7"/>
      <c r="H8" s="9"/>
      <c r="J8" s="8"/>
      <c r="K8" s="8"/>
      <c r="M8" s="9"/>
      <c r="P8" s="8"/>
      <c r="Q8" s="8"/>
      <c r="U8" s="0" t="str">
        <f aca="false">IF(A8="","",IF(AND(COUNTIF(Students!$A$2:$A$500,B8)=1,COUNTIF($A$2:$A$1000,A8)=1,ISNUMBER(H8),ISNUMBER(FIND("@",I8))),"OK","CHECK"))</f>
        <v/>
      </c>
    </row>
    <row r="9" customFormat="false" ht="15" hidden="false" customHeight="false" outlineLevel="0" collapsed="false">
      <c r="F9" s="7"/>
      <c r="H9" s="9"/>
      <c r="J9" s="8"/>
      <c r="K9" s="8"/>
      <c r="M9" s="9"/>
      <c r="P9" s="8"/>
      <c r="Q9" s="8"/>
      <c r="U9" s="0" t="str">
        <f aca="false">IF(A9="","",IF(AND(COUNTIF(Students!$A$2:$A$500,B9)=1,COUNTIF($A$2:$A$1000,A9)=1,ISNUMBER(H9),ISNUMBER(FIND("@",I9))),"OK","CHECK"))</f>
        <v/>
      </c>
    </row>
    <row r="10" customFormat="false" ht="15" hidden="false" customHeight="false" outlineLevel="0" collapsed="false">
      <c r="F10" s="7"/>
      <c r="H10" s="9"/>
      <c r="J10" s="8"/>
      <c r="K10" s="8"/>
      <c r="M10" s="9"/>
      <c r="P10" s="8"/>
      <c r="Q10" s="8"/>
      <c r="U10" s="0" t="str">
        <f aca="false">IF(A10="","",IF(AND(COUNTIF(Students!$A$2:$A$500,B10)=1,COUNTIF($A$2:$A$1000,A10)=1,ISNUMBER(H10),ISNUMBER(FIND("@",I10))),"OK","CHECK"))</f>
        <v/>
      </c>
    </row>
    <row r="11" customFormat="false" ht="15" hidden="false" customHeight="false" outlineLevel="0" collapsed="false">
      <c r="F11" s="7"/>
      <c r="H11" s="9"/>
      <c r="J11" s="8"/>
      <c r="K11" s="8"/>
      <c r="M11" s="9"/>
      <c r="P11" s="8"/>
      <c r="Q11" s="8"/>
      <c r="U11" s="0" t="str">
        <f aca="false">IF(A11="","",IF(AND(COUNTIF(Students!$A$2:$A$500,B11)=1,COUNTIF($A$2:$A$1000,A11)=1,ISNUMBER(H11),ISNUMBER(FIND("@",I11))),"OK","CHECK"))</f>
        <v/>
      </c>
    </row>
    <row r="12" customFormat="false" ht="15" hidden="false" customHeight="false" outlineLevel="0" collapsed="false">
      <c r="F12" s="7"/>
      <c r="H12" s="9"/>
      <c r="J12" s="8"/>
      <c r="K12" s="8"/>
      <c r="M12" s="9"/>
      <c r="P12" s="8"/>
      <c r="Q12" s="8"/>
      <c r="U12" s="0" t="str">
        <f aca="false">IF(A12="","",IF(AND(COUNTIF(Students!$A$2:$A$500,B12)=1,COUNTIF($A$2:$A$1000,A12)=1,ISNUMBER(H12),ISNUMBER(FIND("@",I12))),"OK","CHECK"))</f>
        <v/>
      </c>
    </row>
    <row r="13" customFormat="false" ht="15" hidden="false" customHeight="false" outlineLevel="0" collapsed="false">
      <c r="F13" s="7"/>
      <c r="H13" s="9"/>
      <c r="J13" s="8"/>
      <c r="K13" s="8"/>
      <c r="M13" s="9"/>
      <c r="P13" s="8"/>
      <c r="Q13" s="8"/>
      <c r="U13" s="0" t="str">
        <f aca="false">IF(A13="","",IF(AND(COUNTIF(Students!$A$2:$A$500,B13)=1,COUNTIF($A$2:$A$1000,A13)=1,ISNUMBER(H13),ISNUMBER(FIND("@",I13))),"OK","CHECK"))</f>
        <v/>
      </c>
    </row>
    <row r="14" customFormat="false" ht="15" hidden="false" customHeight="false" outlineLevel="0" collapsed="false">
      <c r="F14" s="7"/>
      <c r="H14" s="9"/>
      <c r="J14" s="8"/>
      <c r="K14" s="8"/>
      <c r="M14" s="9"/>
      <c r="P14" s="8"/>
      <c r="Q14" s="8"/>
      <c r="U14" s="0" t="str">
        <f aca="false">IF(A14="","",IF(AND(COUNTIF(Students!$A$2:$A$500,B14)=1,COUNTIF($A$2:$A$1000,A14)=1,ISNUMBER(H14),ISNUMBER(FIND("@",I14))),"OK","CHECK"))</f>
        <v/>
      </c>
    </row>
    <row r="15" customFormat="false" ht="15" hidden="false" customHeight="false" outlineLevel="0" collapsed="false">
      <c r="F15" s="7"/>
      <c r="H15" s="9"/>
      <c r="J15" s="8"/>
      <c r="K15" s="8"/>
      <c r="M15" s="9"/>
      <c r="P15" s="8"/>
      <c r="Q15" s="8"/>
      <c r="U15" s="0" t="str">
        <f aca="false">IF(A15="","",IF(AND(COUNTIF(Students!$A$2:$A$500,B15)=1,COUNTIF($A$2:$A$1000,A15)=1,ISNUMBER(H15),ISNUMBER(FIND("@",I15))),"OK","CHECK"))</f>
        <v/>
      </c>
    </row>
    <row r="16" customFormat="false" ht="15" hidden="false" customHeight="false" outlineLevel="0" collapsed="false">
      <c r="F16" s="7"/>
      <c r="H16" s="9"/>
      <c r="J16" s="8"/>
      <c r="K16" s="8"/>
      <c r="M16" s="9"/>
      <c r="P16" s="8"/>
      <c r="Q16" s="8"/>
      <c r="U16" s="0" t="str">
        <f aca="false">IF(A16="","",IF(AND(COUNTIF(Students!$A$2:$A$500,B16)=1,COUNTIF($A$2:$A$1000,A16)=1,ISNUMBER(H16),ISNUMBER(FIND("@",I16))),"OK","CHECK"))</f>
        <v/>
      </c>
    </row>
    <row r="17" customFormat="false" ht="15" hidden="false" customHeight="false" outlineLevel="0" collapsed="false">
      <c r="F17" s="7"/>
      <c r="H17" s="9"/>
      <c r="J17" s="8"/>
      <c r="K17" s="8"/>
      <c r="M17" s="9"/>
      <c r="P17" s="8"/>
      <c r="Q17" s="8"/>
      <c r="U17" s="0" t="str">
        <f aca="false">IF(A17="","",IF(AND(COUNTIF(Students!$A$2:$A$500,B17)=1,COUNTIF($A$2:$A$1000,A17)=1,ISNUMBER(H17),ISNUMBER(FIND("@",I17))),"OK","CHECK"))</f>
        <v/>
      </c>
    </row>
    <row r="18" customFormat="false" ht="15" hidden="false" customHeight="false" outlineLevel="0" collapsed="false">
      <c r="F18" s="7"/>
      <c r="H18" s="9"/>
      <c r="J18" s="8"/>
      <c r="K18" s="8"/>
      <c r="M18" s="9"/>
      <c r="P18" s="8"/>
      <c r="Q18" s="8"/>
      <c r="U18" s="0" t="str">
        <f aca="false">IF(A18="","",IF(AND(COUNTIF(Students!$A$2:$A$500,B18)=1,COUNTIF($A$2:$A$1000,A18)=1,ISNUMBER(H18),ISNUMBER(FIND("@",I18))),"OK","CHECK"))</f>
        <v/>
      </c>
    </row>
    <row r="19" customFormat="false" ht="15" hidden="false" customHeight="false" outlineLevel="0" collapsed="false">
      <c r="F19" s="7"/>
      <c r="H19" s="9"/>
      <c r="J19" s="8"/>
      <c r="K19" s="8"/>
      <c r="M19" s="9"/>
      <c r="P19" s="8"/>
      <c r="Q19" s="8"/>
      <c r="U19" s="0" t="str">
        <f aca="false">IF(A19="","",IF(AND(COUNTIF(Students!$A$2:$A$500,B19)=1,COUNTIF($A$2:$A$1000,A19)=1,ISNUMBER(H19),ISNUMBER(FIND("@",I19))),"OK","CHECK"))</f>
        <v/>
      </c>
    </row>
    <row r="20" customFormat="false" ht="15" hidden="false" customHeight="false" outlineLevel="0" collapsed="false">
      <c r="F20" s="7"/>
      <c r="H20" s="9"/>
      <c r="J20" s="8"/>
      <c r="K20" s="8"/>
      <c r="M20" s="9"/>
      <c r="P20" s="8"/>
      <c r="Q20" s="8"/>
      <c r="U20" s="0" t="str">
        <f aca="false">IF(A20="","",IF(AND(COUNTIF(Students!$A$2:$A$500,B20)=1,COUNTIF($A$2:$A$1000,A20)=1,ISNUMBER(H20),ISNUMBER(FIND("@",I20))),"OK","CHECK"))</f>
        <v/>
      </c>
    </row>
    <row r="21" customFormat="false" ht="15" hidden="false" customHeight="false" outlineLevel="0" collapsed="false">
      <c r="F21" s="7"/>
      <c r="H21" s="9"/>
      <c r="J21" s="8"/>
      <c r="K21" s="8"/>
      <c r="M21" s="9"/>
      <c r="P21" s="8"/>
      <c r="Q21" s="8"/>
      <c r="U21" s="0" t="str">
        <f aca="false">IF(A21="","",IF(AND(COUNTIF(Students!$A$2:$A$500,B21)=1,COUNTIF($A$2:$A$1000,A21)=1,ISNUMBER(H21),ISNUMBER(FIND("@",I21))),"OK","CHECK"))</f>
        <v/>
      </c>
    </row>
    <row r="22" customFormat="false" ht="15" hidden="false" customHeight="false" outlineLevel="0" collapsed="false">
      <c r="F22" s="7"/>
      <c r="H22" s="9"/>
      <c r="J22" s="8"/>
      <c r="K22" s="8"/>
      <c r="M22" s="9"/>
      <c r="P22" s="8"/>
      <c r="Q22" s="8"/>
      <c r="U22" s="0" t="str">
        <f aca="false">IF(A22="","",IF(AND(COUNTIF(Students!$A$2:$A$500,B22)=1,COUNTIF($A$2:$A$1000,A22)=1,ISNUMBER(H22),ISNUMBER(FIND("@",I22))),"OK","CHECK"))</f>
        <v/>
      </c>
    </row>
    <row r="23" customFormat="false" ht="15" hidden="false" customHeight="false" outlineLevel="0" collapsed="false">
      <c r="F23" s="7"/>
      <c r="H23" s="9"/>
      <c r="J23" s="8"/>
      <c r="K23" s="8"/>
      <c r="M23" s="9"/>
      <c r="P23" s="8"/>
      <c r="Q23" s="8"/>
      <c r="U23" s="0" t="str">
        <f aca="false">IF(A23="","",IF(AND(COUNTIF(Students!$A$2:$A$500,B23)=1,COUNTIF($A$2:$A$1000,A23)=1,ISNUMBER(H23),ISNUMBER(FIND("@",I23))),"OK","CHECK"))</f>
        <v/>
      </c>
    </row>
    <row r="24" customFormat="false" ht="15" hidden="false" customHeight="false" outlineLevel="0" collapsed="false">
      <c r="F24" s="7"/>
      <c r="H24" s="9"/>
      <c r="J24" s="8"/>
      <c r="K24" s="8"/>
      <c r="M24" s="9"/>
      <c r="P24" s="8"/>
      <c r="Q24" s="8"/>
      <c r="U24" s="0" t="str">
        <f aca="false">IF(A24="","",IF(AND(COUNTIF(Students!$A$2:$A$500,B24)=1,COUNTIF($A$2:$A$1000,A24)=1,ISNUMBER(H24),ISNUMBER(FIND("@",I24))),"OK","CHECK"))</f>
        <v/>
      </c>
    </row>
    <row r="25" customFormat="false" ht="15" hidden="false" customHeight="false" outlineLevel="0" collapsed="false">
      <c r="F25" s="7"/>
      <c r="H25" s="9"/>
      <c r="J25" s="8"/>
      <c r="K25" s="8"/>
      <c r="M25" s="9"/>
      <c r="P25" s="8"/>
      <c r="Q25" s="8"/>
      <c r="U25" s="0" t="str">
        <f aca="false">IF(A25="","",IF(AND(COUNTIF(Students!$A$2:$A$500,B25)=1,COUNTIF($A$2:$A$1000,A25)=1,ISNUMBER(H25),ISNUMBER(FIND("@",I25))),"OK","CHECK"))</f>
        <v/>
      </c>
    </row>
    <row r="26" customFormat="false" ht="15" hidden="false" customHeight="false" outlineLevel="0" collapsed="false">
      <c r="F26" s="7"/>
      <c r="H26" s="9"/>
      <c r="J26" s="8"/>
      <c r="K26" s="8"/>
      <c r="M26" s="9"/>
      <c r="P26" s="8"/>
      <c r="Q26" s="8"/>
      <c r="U26" s="0" t="str">
        <f aca="false">IF(A26="","",IF(AND(COUNTIF(Students!$A$2:$A$500,B26)=1,COUNTIF($A$2:$A$1000,A26)=1,ISNUMBER(H26),ISNUMBER(FIND("@",I26))),"OK","CHECK"))</f>
        <v/>
      </c>
    </row>
    <row r="27" customFormat="false" ht="15" hidden="false" customHeight="false" outlineLevel="0" collapsed="false">
      <c r="F27" s="7"/>
      <c r="H27" s="9"/>
      <c r="J27" s="8"/>
      <c r="K27" s="8"/>
      <c r="M27" s="9"/>
      <c r="P27" s="8"/>
      <c r="Q27" s="8"/>
      <c r="U27" s="0" t="str">
        <f aca="false">IF(A27="","",IF(AND(COUNTIF(Students!$A$2:$A$500,B27)=1,COUNTIF($A$2:$A$1000,A27)=1,ISNUMBER(H27),ISNUMBER(FIND("@",I27))),"OK","CHECK"))</f>
        <v/>
      </c>
    </row>
    <row r="28" customFormat="false" ht="15" hidden="false" customHeight="false" outlineLevel="0" collapsed="false">
      <c r="F28" s="7"/>
      <c r="H28" s="9"/>
      <c r="J28" s="8"/>
      <c r="K28" s="8"/>
      <c r="M28" s="9"/>
      <c r="P28" s="8"/>
      <c r="Q28" s="8"/>
      <c r="U28" s="0" t="str">
        <f aca="false">IF(A28="","",IF(AND(COUNTIF(Students!$A$2:$A$500,B28)=1,COUNTIF($A$2:$A$1000,A28)=1,ISNUMBER(H28),ISNUMBER(FIND("@",I28))),"OK","CHECK"))</f>
        <v/>
      </c>
    </row>
    <row r="29" customFormat="false" ht="15" hidden="false" customHeight="false" outlineLevel="0" collapsed="false">
      <c r="F29" s="7"/>
      <c r="H29" s="9"/>
      <c r="J29" s="8"/>
      <c r="K29" s="8"/>
      <c r="M29" s="9"/>
      <c r="P29" s="8"/>
      <c r="Q29" s="8"/>
      <c r="U29" s="0" t="str">
        <f aca="false">IF(A29="","",IF(AND(COUNTIF(Students!$A$2:$A$500,B29)=1,COUNTIF($A$2:$A$1000,A29)=1,ISNUMBER(H29),ISNUMBER(FIND("@",I29))),"OK","CHECK"))</f>
        <v/>
      </c>
    </row>
    <row r="30" customFormat="false" ht="15" hidden="false" customHeight="false" outlineLevel="0" collapsed="false">
      <c r="F30" s="7"/>
      <c r="H30" s="9"/>
      <c r="J30" s="8"/>
      <c r="K30" s="8"/>
      <c r="M30" s="9"/>
      <c r="P30" s="8"/>
      <c r="Q30" s="8"/>
      <c r="U30" s="0" t="str">
        <f aca="false">IF(A30="","",IF(AND(COUNTIF(Students!$A$2:$A$500,B30)=1,COUNTIF($A$2:$A$1000,A30)=1,ISNUMBER(H30),ISNUMBER(FIND("@",I30))),"OK","CHECK"))</f>
        <v/>
      </c>
    </row>
    <row r="31" customFormat="false" ht="15" hidden="false" customHeight="false" outlineLevel="0" collapsed="false">
      <c r="F31" s="7"/>
      <c r="H31" s="9"/>
      <c r="J31" s="8"/>
      <c r="K31" s="8"/>
      <c r="M31" s="9"/>
      <c r="P31" s="8"/>
      <c r="Q31" s="8"/>
      <c r="U31" s="0" t="str">
        <f aca="false">IF(A31="","",IF(AND(COUNTIF(Students!$A$2:$A$500,B31)=1,COUNTIF($A$2:$A$1000,A31)=1,ISNUMBER(H31),ISNUMBER(FIND("@",I31))),"OK","CHECK"))</f>
        <v/>
      </c>
    </row>
    <row r="32" customFormat="false" ht="15" hidden="false" customHeight="false" outlineLevel="0" collapsed="false">
      <c r="F32" s="7"/>
      <c r="H32" s="9"/>
      <c r="J32" s="8"/>
      <c r="K32" s="8"/>
      <c r="M32" s="9"/>
      <c r="P32" s="8"/>
      <c r="Q32" s="8"/>
      <c r="U32" s="0" t="str">
        <f aca="false">IF(A32="","",IF(AND(COUNTIF(Students!$A$2:$A$500,B32)=1,COUNTIF($A$2:$A$1000,A32)=1,ISNUMBER(H32),ISNUMBER(FIND("@",I32))),"OK","CHECK"))</f>
        <v/>
      </c>
    </row>
    <row r="33" customFormat="false" ht="15" hidden="false" customHeight="false" outlineLevel="0" collapsed="false">
      <c r="F33" s="7"/>
      <c r="H33" s="9"/>
      <c r="J33" s="8"/>
      <c r="K33" s="8"/>
      <c r="M33" s="9"/>
      <c r="P33" s="8"/>
      <c r="Q33" s="8"/>
      <c r="U33" s="0" t="str">
        <f aca="false">IF(A33="","",IF(AND(COUNTIF(Students!$A$2:$A$500,B33)=1,COUNTIF($A$2:$A$1000,A33)=1,ISNUMBER(H33),ISNUMBER(FIND("@",I33))),"OK","CHECK"))</f>
        <v/>
      </c>
    </row>
    <row r="34" customFormat="false" ht="15" hidden="false" customHeight="false" outlineLevel="0" collapsed="false">
      <c r="F34" s="7"/>
      <c r="H34" s="9"/>
      <c r="J34" s="8"/>
      <c r="K34" s="8"/>
      <c r="M34" s="9"/>
      <c r="P34" s="8"/>
      <c r="Q34" s="8"/>
      <c r="U34" s="0" t="str">
        <f aca="false">IF(A34="","",IF(AND(COUNTIF(Students!$A$2:$A$500,B34)=1,COUNTIF($A$2:$A$1000,A34)=1,ISNUMBER(H34),ISNUMBER(FIND("@",I34))),"OK","CHECK"))</f>
        <v/>
      </c>
    </row>
    <row r="35" customFormat="false" ht="15" hidden="false" customHeight="false" outlineLevel="0" collapsed="false">
      <c r="F35" s="7"/>
      <c r="H35" s="9"/>
      <c r="J35" s="8"/>
      <c r="K35" s="8"/>
      <c r="M35" s="9"/>
      <c r="P35" s="8"/>
      <c r="Q35" s="8"/>
      <c r="U35" s="0" t="str">
        <f aca="false">IF(A35="","",IF(AND(COUNTIF(Students!$A$2:$A$500,B35)=1,COUNTIF($A$2:$A$1000,A35)=1,ISNUMBER(H35),ISNUMBER(FIND("@",I35))),"OK","CHECK"))</f>
        <v/>
      </c>
    </row>
    <row r="36" customFormat="false" ht="15" hidden="false" customHeight="false" outlineLevel="0" collapsed="false">
      <c r="F36" s="7"/>
      <c r="H36" s="9"/>
      <c r="J36" s="8"/>
      <c r="K36" s="8"/>
      <c r="M36" s="9"/>
      <c r="P36" s="8"/>
      <c r="Q36" s="8"/>
      <c r="U36" s="0" t="str">
        <f aca="false">IF(A36="","",IF(AND(COUNTIF(Students!$A$2:$A$500,B36)=1,COUNTIF($A$2:$A$1000,A36)=1,ISNUMBER(H36),ISNUMBER(FIND("@",I36))),"OK","CHECK"))</f>
        <v/>
      </c>
    </row>
    <row r="37" customFormat="false" ht="15" hidden="false" customHeight="false" outlineLevel="0" collapsed="false">
      <c r="F37" s="7"/>
      <c r="H37" s="9"/>
      <c r="J37" s="8"/>
      <c r="K37" s="8"/>
      <c r="M37" s="9"/>
      <c r="P37" s="8"/>
      <c r="Q37" s="8"/>
      <c r="U37" s="0" t="str">
        <f aca="false">IF(A37="","",IF(AND(COUNTIF(Students!$A$2:$A$500,B37)=1,COUNTIF($A$2:$A$1000,A37)=1,ISNUMBER(H37),ISNUMBER(FIND("@",I37))),"OK","CHECK"))</f>
        <v/>
      </c>
    </row>
    <row r="38" customFormat="false" ht="15" hidden="false" customHeight="false" outlineLevel="0" collapsed="false">
      <c r="F38" s="7"/>
      <c r="H38" s="9"/>
      <c r="J38" s="8"/>
      <c r="K38" s="8"/>
      <c r="M38" s="9"/>
      <c r="P38" s="8"/>
      <c r="Q38" s="8"/>
      <c r="U38" s="0" t="str">
        <f aca="false">IF(A38="","",IF(AND(COUNTIF(Students!$A$2:$A$500,B38)=1,COUNTIF($A$2:$A$1000,A38)=1,ISNUMBER(H38),ISNUMBER(FIND("@",I38))),"OK","CHECK"))</f>
        <v/>
      </c>
    </row>
    <row r="39" customFormat="false" ht="15" hidden="false" customHeight="false" outlineLevel="0" collapsed="false">
      <c r="F39" s="7"/>
      <c r="H39" s="9"/>
      <c r="J39" s="8"/>
      <c r="K39" s="8"/>
      <c r="M39" s="9"/>
      <c r="P39" s="8"/>
      <c r="Q39" s="8"/>
      <c r="U39" s="0" t="str">
        <f aca="false">IF(A39="","",IF(AND(COUNTIF(Students!$A$2:$A$500,B39)=1,COUNTIF($A$2:$A$1000,A39)=1,ISNUMBER(H39),ISNUMBER(FIND("@",I39))),"OK","CHECK"))</f>
        <v/>
      </c>
    </row>
    <row r="40" customFormat="false" ht="15" hidden="false" customHeight="false" outlineLevel="0" collapsed="false">
      <c r="F40" s="7"/>
      <c r="H40" s="9"/>
      <c r="J40" s="8"/>
      <c r="K40" s="8"/>
      <c r="M40" s="9"/>
      <c r="P40" s="8"/>
      <c r="Q40" s="8"/>
      <c r="U40" s="0" t="str">
        <f aca="false">IF(A40="","",IF(AND(COUNTIF(Students!$A$2:$A$500,B40)=1,COUNTIF($A$2:$A$1000,A40)=1,ISNUMBER(H40),ISNUMBER(FIND("@",I40))),"OK","CHECK"))</f>
        <v/>
      </c>
    </row>
    <row r="41" customFormat="false" ht="15" hidden="false" customHeight="false" outlineLevel="0" collapsed="false">
      <c r="F41" s="7"/>
      <c r="H41" s="9"/>
      <c r="J41" s="8"/>
      <c r="K41" s="8"/>
      <c r="M41" s="9"/>
      <c r="P41" s="8"/>
      <c r="Q41" s="8"/>
      <c r="U41" s="0" t="str">
        <f aca="false">IF(A41="","",IF(AND(COUNTIF(Students!$A$2:$A$500,B41)=1,COUNTIF($A$2:$A$1000,A41)=1,ISNUMBER(H41),ISNUMBER(FIND("@",I41))),"OK","CHECK"))</f>
        <v/>
      </c>
    </row>
    <row r="42" customFormat="false" ht="15" hidden="false" customHeight="false" outlineLevel="0" collapsed="false">
      <c r="F42" s="7"/>
      <c r="H42" s="9"/>
      <c r="J42" s="8"/>
      <c r="K42" s="8"/>
      <c r="M42" s="9"/>
      <c r="P42" s="8"/>
      <c r="Q42" s="8"/>
      <c r="U42" s="0" t="str">
        <f aca="false">IF(A42="","",IF(AND(COUNTIF(Students!$A$2:$A$500,B42)=1,COUNTIF($A$2:$A$1000,A42)=1,ISNUMBER(H42),ISNUMBER(FIND("@",I42))),"OK","CHECK"))</f>
        <v/>
      </c>
    </row>
    <row r="43" customFormat="false" ht="15" hidden="false" customHeight="false" outlineLevel="0" collapsed="false">
      <c r="F43" s="7"/>
      <c r="H43" s="9"/>
      <c r="J43" s="8"/>
      <c r="K43" s="8"/>
      <c r="M43" s="9"/>
      <c r="P43" s="8"/>
      <c r="Q43" s="8"/>
      <c r="U43" s="0" t="str">
        <f aca="false">IF(A43="","",IF(AND(COUNTIF(Students!$A$2:$A$500,B43)=1,COUNTIF($A$2:$A$1000,A43)=1,ISNUMBER(H43),ISNUMBER(FIND("@",I43))),"OK","CHECK"))</f>
        <v/>
      </c>
    </row>
    <row r="44" customFormat="false" ht="15" hidden="false" customHeight="false" outlineLevel="0" collapsed="false">
      <c r="F44" s="7"/>
      <c r="H44" s="9"/>
      <c r="J44" s="8"/>
      <c r="K44" s="8"/>
      <c r="M44" s="9"/>
      <c r="P44" s="8"/>
      <c r="Q44" s="8"/>
      <c r="U44" s="0" t="str">
        <f aca="false">IF(A44="","",IF(AND(COUNTIF(Students!$A$2:$A$500,B44)=1,COUNTIF($A$2:$A$1000,A44)=1,ISNUMBER(H44),ISNUMBER(FIND("@",I44))),"OK","CHECK"))</f>
        <v/>
      </c>
    </row>
    <row r="45" customFormat="false" ht="15" hidden="false" customHeight="false" outlineLevel="0" collapsed="false">
      <c r="F45" s="7"/>
      <c r="H45" s="9"/>
      <c r="J45" s="8"/>
      <c r="K45" s="8"/>
      <c r="M45" s="9"/>
      <c r="P45" s="8"/>
      <c r="Q45" s="8"/>
      <c r="U45" s="0" t="str">
        <f aca="false">IF(A45="","",IF(AND(COUNTIF(Students!$A$2:$A$500,B45)=1,COUNTIF($A$2:$A$1000,A45)=1,ISNUMBER(H45),ISNUMBER(FIND("@",I45))),"OK","CHECK"))</f>
        <v/>
      </c>
    </row>
    <row r="46" customFormat="false" ht="15" hidden="false" customHeight="false" outlineLevel="0" collapsed="false">
      <c r="F46" s="7"/>
      <c r="H46" s="9"/>
      <c r="J46" s="8"/>
      <c r="K46" s="8"/>
      <c r="M46" s="9"/>
      <c r="P46" s="8"/>
      <c r="Q46" s="8"/>
      <c r="U46" s="0" t="str">
        <f aca="false">IF(A46="","",IF(AND(COUNTIF(Students!$A$2:$A$500,B46)=1,COUNTIF($A$2:$A$1000,A46)=1,ISNUMBER(H46),ISNUMBER(FIND("@",I46))),"OK","CHECK"))</f>
        <v/>
      </c>
    </row>
    <row r="47" customFormat="false" ht="15" hidden="false" customHeight="false" outlineLevel="0" collapsed="false">
      <c r="F47" s="7"/>
      <c r="H47" s="9"/>
      <c r="J47" s="8"/>
      <c r="K47" s="8"/>
      <c r="M47" s="9"/>
      <c r="P47" s="8"/>
      <c r="Q47" s="8"/>
      <c r="U47" s="0" t="str">
        <f aca="false">IF(A47="","",IF(AND(COUNTIF(Students!$A$2:$A$500,B47)=1,COUNTIF($A$2:$A$1000,A47)=1,ISNUMBER(H47),ISNUMBER(FIND("@",I47))),"OK","CHECK"))</f>
        <v/>
      </c>
    </row>
    <row r="48" customFormat="false" ht="15" hidden="false" customHeight="false" outlineLevel="0" collapsed="false">
      <c r="F48" s="7"/>
      <c r="H48" s="9"/>
      <c r="J48" s="8"/>
      <c r="K48" s="8"/>
      <c r="M48" s="9"/>
      <c r="P48" s="8"/>
      <c r="Q48" s="8"/>
      <c r="U48" s="0" t="str">
        <f aca="false">IF(A48="","",IF(AND(COUNTIF(Students!$A$2:$A$500,B48)=1,COUNTIF($A$2:$A$1000,A48)=1,ISNUMBER(H48),ISNUMBER(FIND("@",I48))),"OK","CHECK"))</f>
        <v/>
      </c>
    </row>
    <row r="49" customFormat="false" ht="15" hidden="false" customHeight="false" outlineLevel="0" collapsed="false">
      <c r="F49" s="7"/>
      <c r="H49" s="9"/>
      <c r="J49" s="8"/>
      <c r="K49" s="8"/>
      <c r="M49" s="9"/>
      <c r="P49" s="8"/>
      <c r="Q49" s="8"/>
      <c r="U49" s="0" t="str">
        <f aca="false">IF(A49="","",IF(AND(COUNTIF(Students!$A$2:$A$500,B49)=1,COUNTIF($A$2:$A$1000,A49)=1,ISNUMBER(H49),ISNUMBER(FIND("@",I49))),"OK","CHECK"))</f>
        <v/>
      </c>
    </row>
    <row r="50" customFormat="false" ht="15" hidden="false" customHeight="false" outlineLevel="0" collapsed="false">
      <c r="F50" s="7"/>
      <c r="H50" s="9"/>
      <c r="J50" s="8"/>
      <c r="K50" s="8"/>
      <c r="M50" s="9"/>
      <c r="P50" s="8"/>
      <c r="Q50" s="8"/>
      <c r="U50" s="0" t="str">
        <f aca="false">IF(A50="","",IF(AND(COUNTIF(Students!$A$2:$A$500,B50)=1,COUNTIF($A$2:$A$1000,A50)=1,ISNUMBER(H50),ISNUMBER(FIND("@",I50))),"OK","CHECK"))</f>
        <v/>
      </c>
    </row>
    <row r="51" customFormat="false" ht="15" hidden="false" customHeight="false" outlineLevel="0" collapsed="false">
      <c r="F51" s="7"/>
      <c r="H51" s="9"/>
      <c r="J51" s="8"/>
      <c r="K51" s="8"/>
      <c r="M51" s="9"/>
      <c r="P51" s="8"/>
      <c r="Q51" s="8"/>
      <c r="U51" s="0" t="str">
        <f aca="false">IF(A51="","",IF(AND(COUNTIF(Students!$A$2:$A$500,B51)=1,COUNTIF($A$2:$A$1000,A51)=1,ISNUMBER(H51),ISNUMBER(FIND("@",I51))),"OK","CHECK"))</f>
        <v/>
      </c>
    </row>
    <row r="52" customFormat="false" ht="15" hidden="false" customHeight="false" outlineLevel="0" collapsed="false">
      <c r="F52" s="7"/>
      <c r="H52" s="9"/>
      <c r="J52" s="8"/>
      <c r="K52" s="8"/>
      <c r="M52" s="9"/>
      <c r="P52" s="8"/>
      <c r="Q52" s="8"/>
      <c r="U52" s="0" t="str">
        <f aca="false">IF(A52="","",IF(AND(COUNTIF(Students!$A$2:$A$500,B52)=1,COUNTIF($A$2:$A$1000,A52)=1,ISNUMBER(H52),ISNUMBER(FIND("@",I52))),"OK","CHECK"))</f>
        <v/>
      </c>
    </row>
    <row r="53" customFormat="false" ht="15" hidden="false" customHeight="false" outlineLevel="0" collapsed="false">
      <c r="F53" s="7"/>
      <c r="H53" s="9"/>
      <c r="J53" s="8"/>
      <c r="K53" s="8"/>
      <c r="M53" s="9"/>
      <c r="P53" s="8"/>
      <c r="Q53" s="8"/>
      <c r="U53" s="0" t="str">
        <f aca="false">IF(A53="","",IF(AND(COUNTIF(Students!$A$2:$A$500,B53)=1,COUNTIF($A$2:$A$1000,A53)=1,ISNUMBER(H53),ISNUMBER(FIND("@",I53))),"OK","CHECK"))</f>
        <v/>
      </c>
    </row>
    <row r="54" customFormat="false" ht="15" hidden="false" customHeight="false" outlineLevel="0" collapsed="false">
      <c r="F54" s="7"/>
      <c r="H54" s="9"/>
      <c r="J54" s="8"/>
      <c r="K54" s="8"/>
      <c r="M54" s="9"/>
      <c r="P54" s="8"/>
      <c r="Q54" s="8"/>
      <c r="U54" s="0" t="str">
        <f aca="false">IF(A54="","",IF(AND(COUNTIF(Students!$A$2:$A$500,B54)=1,COUNTIF($A$2:$A$1000,A54)=1,ISNUMBER(H54),ISNUMBER(FIND("@",I54))),"OK","CHECK"))</f>
        <v/>
      </c>
    </row>
    <row r="55" customFormat="false" ht="15" hidden="false" customHeight="false" outlineLevel="0" collapsed="false">
      <c r="F55" s="7"/>
      <c r="H55" s="9"/>
      <c r="J55" s="8"/>
      <c r="K55" s="8"/>
      <c r="M55" s="9"/>
      <c r="P55" s="8"/>
      <c r="Q55" s="8"/>
      <c r="U55" s="0" t="str">
        <f aca="false">IF(A55="","",IF(AND(COUNTIF(Students!$A$2:$A$500,B55)=1,COUNTIF($A$2:$A$1000,A55)=1,ISNUMBER(H55),ISNUMBER(FIND("@",I55))),"OK","CHECK"))</f>
        <v/>
      </c>
    </row>
    <row r="56" customFormat="false" ht="15" hidden="false" customHeight="false" outlineLevel="0" collapsed="false">
      <c r="F56" s="7"/>
      <c r="H56" s="9"/>
      <c r="J56" s="8"/>
      <c r="K56" s="8"/>
      <c r="M56" s="9"/>
      <c r="P56" s="8"/>
      <c r="Q56" s="8"/>
      <c r="U56" s="0" t="str">
        <f aca="false">IF(A56="","",IF(AND(COUNTIF(Students!$A$2:$A$500,B56)=1,COUNTIF($A$2:$A$1000,A56)=1,ISNUMBER(H56),ISNUMBER(FIND("@",I56))),"OK","CHECK"))</f>
        <v/>
      </c>
    </row>
    <row r="57" customFormat="false" ht="15" hidden="false" customHeight="false" outlineLevel="0" collapsed="false">
      <c r="F57" s="7"/>
      <c r="H57" s="9"/>
      <c r="J57" s="8"/>
      <c r="K57" s="8"/>
      <c r="M57" s="9"/>
      <c r="P57" s="8"/>
      <c r="Q57" s="8"/>
      <c r="U57" s="0" t="str">
        <f aca="false">IF(A57="","",IF(AND(COUNTIF(Students!$A$2:$A$500,B57)=1,COUNTIF($A$2:$A$1000,A57)=1,ISNUMBER(H57),ISNUMBER(FIND("@",I57))),"OK","CHECK"))</f>
        <v/>
      </c>
    </row>
    <row r="58" customFormat="false" ht="15" hidden="false" customHeight="false" outlineLevel="0" collapsed="false">
      <c r="F58" s="7"/>
      <c r="H58" s="9"/>
      <c r="J58" s="8"/>
      <c r="K58" s="8"/>
      <c r="M58" s="9"/>
      <c r="P58" s="8"/>
      <c r="Q58" s="8"/>
      <c r="U58" s="0" t="str">
        <f aca="false">IF(A58="","",IF(AND(COUNTIF(Students!$A$2:$A$500,B58)=1,COUNTIF($A$2:$A$1000,A58)=1,ISNUMBER(H58),ISNUMBER(FIND("@",I58))),"OK","CHECK"))</f>
        <v/>
      </c>
    </row>
    <row r="59" customFormat="false" ht="15" hidden="false" customHeight="false" outlineLevel="0" collapsed="false">
      <c r="F59" s="7"/>
      <c r="H59" s="9"/>
      <c r="J59" s="8"/>
      <c r="K59" s="8"/>
      <c r="M59" s="9"/>
      <c r="P59" s="8"/>
      <c r="Q59" s="8"/>
      <c r="U59" s="0" t="str">
        <f aca="false">IF(A59="","",IF(AND(COUNTIF(Students!$A$2:$A$500,B59)=1,COUNTIF($A$2:$A$1000,A59)=1,ISNUMBER(H59),ISNUMBER(FIND("@",I59))),"OK","CHECK"))</f>
        <v/>
      </c>
    </row>
    <row r="60" customFormat="false" ht="15" hidden="false" customHeight="false" outlineLevel="0" collapsed="false">
      <c r="F60" s="7"/>
      <c r="H60" s="9"/>
      <c r="J60" s="8"/>
      <c r="K60" s="8"/>
      <c r="M60" s="9"/>
      <c r="P60" s="8"/>
      <c r="Q60" s="8"/>
      <c r="U60" s="0" t="str">
        <f aca="false">IF(A60="","",IF(AND(COUNTIF(Students!$A$2:$A$500,B60)=1,COUNTIF($A$2:$A$1000,A60)=1,ISNUMBER(H60),ISNUMBER(FIND("@",I60))),"OK","CHECK"))</f>
        <v/>
      </c>
    </row>
    <row r="61" customFormat="false" ht="15" hidden="false" customHeight="false" outlineLevel="0" collapsed="false">
      <c r="F61" s="7"/>
      <c r="H61" s="9"/>
      <c r="J61" s="8"/>
      <c r="K61" s="8"/>
      <c r="M61" s="9"/>
      <c r="P61" s="8"/>
      <c r="Q61" s="8"/>
      <c r="U61" s="0" t="str">
        <f aca="false">IF(A61="","",IF(AND(COUNTIF(Students!$A$2:$A$500,B61)=1,COUNTIF($A$2:$A$1000,A61)=1,ISNUMBER(H61),ISNUMBER(FIND("@",I61))),"OK","CHECK"))</f>
        <v/>
      </c>
    </row>
    <row r="62" customFormat="false" ht="15" hidden="false" customHeight="false" outlineLevel="0" collapsed="false">
      <c r="F62" s="7"/>
      <c r="H62" s="9"/>
      <c r="J62" s="8"/>
      <c r="K62" s="8"/>
      <c r="M62" s="9"/>
      <c r="P62" s="8"/>
      <c r="Q62" s="8"/>
      <c r="U62" s="0" t="str">
        <f aca="false">IF(A62="","",IF(AND(COUNTIF(Students!$A$2:$A$500,B62)=1,COUNTIF($A$2:$A$1000,A62)=1,ISNUMBER(H62),ISNUMBER(FIND("@",I62))),"OK","CHECK"))</f>
        <v/>
      </c>
    </row>
    <row r="63" customFormat="false" ht="15" hidden="false" customHeight="false" outlineLevel="0" collapsed="false">
      <c r="F63" s="7"/>
      <c r="H63" s="9"/>
      <c r="J63" s="8"/>
      <c r="K63" s="8"/>
      <c r="M63" s="9"/>
      <c r="P63" s="8"/>
      <c r="Q63" s="8"/>
      <c r="U63" s="0" t="str">
        <f aca="false">IF(A63="","",IF(AND(COUNTIF(Students!$A$2:$A$500,B63)=1,COUNTIF($A$2:$A$1000,A63)=1,ISNUMBER(H63),ISNUMBER(FIND("@",I63))),"OK","CHECK"))</f>
        <v/>
      </c>
    </row>
    <row r="64" customFormat="false" ht="15" hidden="false" customHeight="false" outlineLevel="0" collapsed="false">
      <c r="F64" s="7"/>
      <c r="H64" s="9"/>
      <c r="J64" s="8"/>
      <c r="K64" s="8"/>
      <c r="M64" s="9"/>
      <c r="P64" s="8"/>
      <c r="Q64" s="8"/>
      <c r="U64" s="0" t="str">
        <f aca="false">IF(A64="","",IF(AND(COUNTIF(Students!$A$2:$A$500,B64)=1,COUNTIF($A$2:$A$1000,A64)=1,ISNUMBER(H64),ISNUMBER(FIND("@",I64))),"OK","CHECK"))</f>
        <v/>
      </c>
    </row>
    <row r="65" customFormat="false" ht="15" hidden="false" customHeight="false" outlineLevel="0" collapsed="false">
      <c r="F65" s="7"/>
      <c r="H65" s="9"/>
      <c r="J65" s="8"/>
      <c r="K65" s="8"/>
      <c r="M65" s="9"/>
      <c r="P65" s="8"/>
      <c r="Q65" s="8"/>
      <c r="U65" s="0" t="str">
        <f aca="false">IF(A65="","",IF(AND(COUNTIF(Students!$A$2:$A$500,B65)=1,COUNTIF($A$2:$A$1000,A65)=1,ISNUMBER(H65),ISNUMBER(FIND("@",I65))),"OK","CHECK"))</f>
        <v/>
      </c>
    </row>
    <row r="66" customFormat="false" ht="15" hidden="false" customHeight="false" outlineLevel="0" collapsed="false">
      <c r="F66" s="7"/>
      <c r="H66" s="9"/>
      <c r="J66" s="8"/>
      <c r="K66" s="8"/>
      <c r="M66" s="9"/>
      <c r="P66" s="8"/>
      <c r="Q66" s="8"/>
      <c r="U66" s="0" t="str">
        <f aca="false">IF(A66="","",IF(AND(COUNTIF(Students!$A$2:$A$500,B66)=1,COUNTIF($A$2:$A$1000,A66)=1,ISNUMBER(H66),ISNUMBER(FIND("@",I66))),"OK","CHECK"))</f>
        <v/>
      </c>
    </row>
    <row r="67" customFormat="false" ht="15" hidden="false" customHeight="false" outlineLevel="0" collapsed="false">
      <c r="F67" s="7"/>
      <c r="H67" s="9"/>
      <c r="J67" s="8"/>
      <c r="K67" s="8"/>
      <c r="M67" s="9"/>
      <c r="P67" s="8"/>
      <c r="Q67" s="8"/>
      <c r="U67" s="0" t="str">
        <f aca="false">IF(A67="","",IF(AND(COUNTIF(Students!$A$2:$A$500,B67)=1,COUNTIF($A$2:$A$1000,A67)=1,ISNUMBER(H67),ISNUMBER(FIND("@",I67))),"OK","CHECK"))</f>
        <v/>
      </c>
    </row>
    <row r="68" customFormat="false" ht="15" hidden="false" customHeight="false" outlineLevel="0" collapsed="false">
      <c r="F68" s="7"/>
      <c r="H68" s="9"/>
      <c r="J68" s="8"/>
      <c r="K68" s="8"/>
      <c r="M68" s="9"/>
      <c r="P68" s="8"/>
      <c r="Q68" s="8"/>
      <c r="U68" s="0" t="str">
        <f aca="false">IF(A68="","",IF(AND(COUNTIF(Students!$A$2:$A$500,B68)=1,COUNTIF($A$2:$A$1000,A68)=1,ISNUMBER(H68),ISNUMBER(FIND("@",I68))),"OK","CHECK"))</f>
        <v/>
      </c>
    </row>
    <row r="69" customFormat="false" ht="15" hidden="false" customHeight="false" outlineLevel="0" collapsed="false">
      <c r="F69" s="7"/>
      <c r="H69" s="9"/>
      <c r="J69" s="8"/>
      <c r="K69" s="8"/>
      <c r="M69" s="9"/>
      <c r="P69" s="8"/>
      <c r="Q69" s="8"/>
      <c r="U69" s="0" t="str">
        <f aca="false">IF(A69="","",IF(AND(COUNTIF(Students!$A$2:$A$500,B69)=1,COUNTIF($A$2:$A$1000,A69)=1,ISNUMBER(H69),ISNUMBER(FIND("@",I69))),"OK","CHECK"))</f>
        <v/>
      </c>
    </row>
    <row r="70" customFormat="false" ht="15" hidden="false" customHeight="false" outlineLevel="0" collapsed="false">
      <c r="F70" s="7"/>
      <c r="H70" s="9"/>
      <c r="J70" s="8"/>
      <c r="K70" s="8"/>
      <c r="M70" s="9"/>
      <c r="P70" s="8"/>
      <c r="Q70" s="8"/>
      <c r="U70" s="0" t="str">
        <f aca="false">IF(A70="","",IF(AND(COUNTIF(Students!$A$2:$A$500,B70)=1,COUNTIF($A$2:$A$1000,A70)=1,ISNUMBER(H70),ISNUMBER(FIND("@",I70))),"OK","CHECK"))</f>
        <v/>
      </c>
    </row>
    <row r="71" customFormat="false" ht="15" hidden="false" customHeight="false" outlineLevel="0" collapsed="false">
      <c r="F71" s="7"/>
      <c r="H71" s="9"/>
      <c r="J71" s="8"/>
      <c r="K71" s="8"/>
      <c r="M71" s="9"/>
      <c r="P71" s="8"/>
      <c r="Q71" s="8"/>
      <c r="U71" s="0" t="str">
        <f aca="false">IF(A71="","",IF(AND(COUNTIF(Students!$A$2:$A$500,B71)=1,COUNTIF($A$2:$A$1000,A71)=1,ISNUMBER(H71),ISNUMBER(FIND("@",I71))),"OK","CHECK"))</f>
        <v/>
      </c>
    </row>
    <row r="72" customFormat="false" ht="15" hidden="false" customHeight="false" outlineLevel="0" collapsed="false">
      <c r="F72" s="7"/>
      <c r="H72" s="9"/>
      <c r="J72" s="8"/>
      <c r="K72" s="8"/>
      <c r="M72" s="9"/>
      <c r="P72" s="8"/>
      <c r="Q72" s="8"/>
      <c r="U72" s="0" t="str">
        <f aca="false">IF(A72="","",IF(AND(COUNTIF(Students!$A$2:$A$500,B72)=1,COUNTIF($A$2:$A$1000,A72)=1,ISNUMBER(H72),ISNUMBER(FIND("@",I72))),"OK","CHECK"))</f>
        <v/>
      </c>
    </row>
    <row r="73" customFormat="false" ht="15" hidden="false" customHeight="false" outlineLevel="0" collapsed="false">
      <c r="F73" s="7"/>
      <c r="H73" s="9"/>
      <c r="J73" s="8"/>
      <c r="K73" s="8"/>
      <c r="M73" s="9"/>
      <c r="P73" s="8"/>
      <c r="Q73" s="8"/>
      <c r="U73" s="0" t="str">
        <f aca="false">IF(A73="","",IF(AND(COUNTIF(Students!$A$2:$A$500,B73)=1,COUNTIF($A$2:$A$1000,A73)=1,ISNUMBER(H73),ISNUMBER(FIND("@",I73))),"OK","CHECK"))</f>
        <v/>
      </c>
    </row>
    <row r="74" customFormat="false" ht="15" hidden="false" customHeight="false" outlineLevel="0" collapsed="false">
      <c r="F74" s="7"/>
      <c r="H74" s="9"/>
      <c r="J74" s="8"/>
      <c r="K74" s="8"/>
      <c r="M74" s="9"/>
      <c r="P74" s="8"/>
      <c r="Q74" s="8"/>
      <c r="U74" s="0" t="str">
        <f aca="false">IF(A74="","",IF(AND(COUNTIF(Students!$A$2:$A$500,B74)=1,COUNTIF($A$2:$A$1000,A74)=1,ISNUMBER(H74),ISNUMBER(FIND("@",I74))),"OK","CHECK"))</f>
        <v/>
      </c>
    </row>
    <row r="75" customFormat="false" ht="15" hidden="false" customHeight="false" outlineLevel="0" collapsed="false">
      <c r="F75" s="7"/>
      <c r="H75" s="9"/>
      <c r="J75" s="8"/>
      <c r="K75" s="8"/>
      <c r="M75" s="9"/>
      <c r="P75" s="8"/>
      <c r="Q75" s="8"/>
      <c r="U75" s="0" t="str">
        <f aca="false">IF(A75="","",IF(AND(COUNTIF(Students!$A$2:$A$500,B75)=1,COUNTIF($A$2:$A$1000,A75)=1,ISNUMBER(H75),ISNUMBER(FIND("@",I75))),"OK","CHECK"))</f>
        <v/>
      </c>
    </row>
    <row r="76" customFormat="false" ht="15" hidden="false" customHeight="false" outlineLevel="0" collapsed="false">
      <c r="F76" s="7"/>
      <c r="H76" s="9"/>
      <c r="J76" s="8"/>
      <c r="K76" s="8"/>
      <c r="M76" s="9"/>
      <c r="P76" s="8"/>
      <c r="Q76" s="8"/>
      <c r="U76" s="0" t="str">
        <f aca="false">IF(A76="","",IF(AND(COUNTIF(Students!$A$2:$A$500,B76)=1,COUNTIF($A$2:$A$1000,A76)=1,ISNUMBER(H76),ISNUMBER(FIND("@",I76))),"OK","CHECK"))</f>
        <v/>
      </c>
    </row>
    <row r="77" customFormat="false" ht="15" hidden="false" customHeight="false" outlineLevel="0" collapsed="false">
      <c r="F77" s="7"/>
      <c r="H77" s="9"/>
      <c r="J77" s="8"/>
      <c r="K77" s="8"/>
      <c r="M77" s="9"/>
      <c r="P77" s="8"/>
      <c r="Q77" s="8"/>
      <c r="U77" s="0" t="str">
        <f aca="false">IF(A77="","",IF(AND(COUNTIF(Students!$A$2:$A$500,B77)=1,COUNTIF($A$2:$A$1000,A77)=1,ISNUMBER(H77),ISNUMBER(FIND("@",I77))),"OK","CHECK"))</f>
        <v/>
      </c>
    </row>
    <row r="78" customFormat="false" ht="15" hidden="false" customHeight="false" outlineLevel="0" collapsed="false">
      <c r="F78" s="7"/>
      <c r="H78" s="9"/>
      <c r="J78" s="8"/>
      <c r="K78" s="8"/>
      <c r="M78" s="9"/>
      <c r="P78" s="8"/>
      <c r="Q78" s="8"/>
      <c r="U78" s="0" t="str">
        <f aca="false">IF(A78="","",IF(AND(COUNTIF(Students!$A$2:$A$500,B78)=1,COUNTIF($A$2:$A$1000,A78)=1,ISNUMBER(H78),ISNUMBER(FIND("@",I78))),"OK","CHECK"))</f>
        <v/>
      </c>
    </row>
    <row r="79" customFormat="false" ht="15" hidden="false" customHeight="false" outlineLevel="0" collapsed="false">
      <c r="F79" s="7"/>
      <c r="H79" s="9"/>
      <c r="J79" s="8"/>
      <c r="K79" s="8"/>
      <c r="M79" s="9"/>
      <c r="P79" s="8"/>
      <c r="Q79" s="8"/>
      <c r="U79" s="0" t="str">
        <f aca="false">IF(A79="","",IF(AND(COUNTIF(Students!$A$2:$A$500,B79)=1,COUNTIF($A$2:$A$1000,A79)=1,ISNUMBER(H79),ISNUMBER(FIND("@",I79))),"OK","CHECK"))</f>
        <v/>
      </c>
    </row>
    <row r="80" customFormat="false" ht="15" hidden="false" customHeight="false" outlineLevel="0" collapsed="false">
      <c r="F80" s="7"/>
      <c r="H80" s="9"/>
      <c r="J80" s="8"/>
      <c r="K80" s="8"/>
      <c r="M80" s="9"/>
      <c r="P80" s="8"/>
      <c r="Q80" s="8"/>
      <c r="U80" s="0" t="str">
        <f aca="false">IF(A80="","",IF(AND(COUNTIF(Students!$A$2:$A$500,B80)=1,COUNTIF($A$2:$A$1000,A80)=1,ISNUMBER(H80),ISNUMBER(FIND("@",I80))),"OK","CHECK"))</f>
        <v/>
      </c>
    </row>
    <row r="81" customFormat="false" ht="15" hidden="false" customHeight="false" outlineLevel="0" collapsed="false">
      <c r="F81" s="7"/>
      <c r="H81" s="9"/>
      <c r="J81" s="8"/>
      <c r="K81" s="8"/>
      <c r="M81" s="9"/>
      <c r="P81" s="8"/>
      <c r="Q81" s="8"/>
      <c r="U81" s="0" t="str">
        <f aca="false">IF(A81="","",IF(AND(COUNTIF(Students!$A$2:$A$500,B81)=1,COUNTIF($A$2:$A$1000,A81)=1,ISNUMBER(H81),ISNUMBER(FIND("@",I81))),"OK","CHECK"))</f>
        <v/>
      </c>
    </row>
    <row r="82" customFormat="false" ht="15" hidden="false" customHeight="false" outlineLevel="0" collapsed="false">
      <c r="F82" s="7"/>
      <c r="H82" s="9"/>
      <c r="J82" s="8"/>
      <c r="K82" s="8"/>
      <c r="M82" s="9"/>
      <c r="P82" s="8"/>
      <c r="Q82" s="8"/>
      <c r="U82" s="0" t="str">
        <f aca="false">IF(A82="","",IF(AND(COUNTIF(Students!$A$2:$A$500,B82)=1,COUNTIF($A$2:$A$1000,A82)=1,ISNUMBER(H82),ISNUMBER(FIND("@",I82))),"OK","CHECK"))</f>
        <v/>
      </c>
    </row>
    <row r="83" customFormat="false" ht="15" hidden="false" customHeight="false" outlineLevel="0" collapsed="false">
      <c r="F83" s="7"/>
      <c r="H83" s="9"/>
      <c r="J83" s="8"/>
      <c r="K83" s="8"/>
      <c r="M83" s="9"/>
      <c r="P83" s="8"/>
      <c r="Q83" s="8"/>
      <c r="U83" s="0" t="str">
        <f aca="false">IF(A83="","",IF(AND(COUNTIF(Students!$A$2:$A$500,B83)=1,COUNTIF($A$2:$A$1000,A83)=1,ISNUMBER(H83),ISNUMBER(FIND("@",I83))),"OK","CHECK"))</f>
        <v/>
      </c>
    </row>
    <row r="84" customFormat="false" ht="15" hidden="false" customHeight="false" outlineLevel="0" collapsed="false">
      <c r="F84" s="7"/>
      <c r="H84" s="9"/>
      <c r="J84" s="8"/>
      <c r="K84" s="8"/>
      <c r="M84" s="9"/>
      <c r="P84" s="8"/>
      <c r="Q84" s="8"/>
      <c r="U84" s="0" t="str">
        <f aca="false">IF(A84="","",IF(AND(COUNTIF(Students!$A$2:$A$500,B84)=1,COUNTIF($A$2:$A$1000,A84)=1,ISNUMBER(H84),ISNUMBER(FIND("@",I84))),"OK","CHECK"))</f>
        <v/>
      </c>
    </row>
    <row r="85" customFormat="false" ht="15" hidden="false" customHeight="false" outlineLevel="0" collapsed="false">
      <c r="F85" s="7"/>
      <c r="H85" s="9"/>
      <c r="J85" s="8"/>
      <c r="K85" s="8"/>
      <c r="M85" s="9"/>
      <c r="P85" s="8"/>
      <c r="Q85" s="8"/>
      <c r="U85" s="0" t="str">
        <f aca="false">IF(A85="","",IF(AND(COUNTIF(Students!$A$2:$A$500,B85)=1,COUNTIF($A$2:$A$1000,A85)=1,ISNUMBER(H85),ISNUMBER(FIND("@",I85))),"OK","CHECK"))</f>
        <v/>
      </c>
    </row>
    <row r="86" customFormat="false" ht="15" hidden="false" customHeight="false" outlineLevel="0" collapsed="false">
      <c r="F86" s="7"/>
      <c r="H86" s="9"/>
      <c r="J86" s="8"/>
      <c r="K86" s="8"/>
      <c r="M86" s="9"/>
      <c r="P86" s="8"/>
      <c r="Q86" s="8"/>
      <c r="U86" s="0" t="str">
        <f aca="false">IF(A86="","",IF(AND(COUNTIF(Students!$A$2:$A$500,B86)=1,COUNTIF($A$2:$A$1000,A86)=1,ISNUMBER(H86),ISNUMBER(FIND("@",I86))),"OK","CHECK"))</f>
        <v/>
      </c>
    </row>
    <row r="87" customFormat="false" ht="15" hidden="false" customHeight="false" outlineLevel="0" collapsed="false">
      <c r="F87" s="7"/>
      <c r="H87" s="9"/>
      <c r="J87" s="8"/>
      <c r="K87" s="8"/>
      <c r="M87" s="9"/>
      <c r="P87" s="8"/>
      <c r="Q87" s="8"/>
      <c r="U87" s="0" t="str">
        <f aca="false">IF(A87="","",IF(AND(COUNTIF(Students!$A$2:$A$500,B87)=1,COUNTIF($A$2:$A$1000,A87)=1,ISNUMBER(H87),ISNUMBER(FIND("@",I87))),"OK","CHECK"))</f>
        <v/>
      </c>
    </row>
    <row r="88" customFormat="false" ht="15" hidden="false" customHeight="false" outlineLevel="0" collapsed="false">
      <c r="F88" s="7"/>
      <c r="H88" s="9"/>
      <c r="J88" s="8"/>
      <c r="K88" s="8"/>
      <c r="M88" s="9"/>
      <c r="P88" s="8"/>
      <c r="Q88" s="8"/>
      <c r="U88" s="0" t="str">
        <f aca="false">IF(A88="","",IF(AND(COUNTIF(Students!$A$2:$A$500,B88)=1,COUNTIF($A$2:$A$1000,A88)=1,ISNUMBER(H88),ISNUMBER(FIND("@",I88))),"OK","CHECK"))</f>
        <v/>
      </c>
    </row>
    <row r="89" customFormat="false" ht="15" hidden="false" customHeight="false" outlineLevel="0" collapsed="false">
      <c r="F89" s="7"/>
      <c r="H89" s="9"/>
      <c r="J89" s="8"/>
      <c r="K89" s="8"/>
      <c r="M89" s="9"/>
      <c r="P89" s="8"/>
      <c r="Q89" s="8"/>
      <c r="U89" s="0" t="str">
        <f aca="false">IF(A89="","",IF(AND(COUNTIF(Students!$A$2:$A$500,B89)=1,COUNTIF($A$2:$A$1000,A89)=1,ISNUMBER(H89),ISNUMBER(FIND("@",I89))),"OK","CHECK"))</f>
        <v/>
      </c>
    </row>
    <row r="90" customFormat="false" ht="15" hidden="false" customHeight="false" outlineLevel="0" collapsed="false">
      <c r="F90" s="7"/>
      <c r="H90" s="9"/>
      <c r="J90" s="8"/>
      <c r="K90" s="8"/>
      <c r="M90" s="9"/>
      <c r="P90" s="8"/>
      <c r="Q90" s="8"/>
      <c r="U90" s="0" t="str">
        <f aca="false">IF(A90="","",IF(AND(COUNTIF(Students!$A$2:$A$500,B90)=1,COUNTIF($A$2:$A$1000,A90)=1,ISNUMBER(H90),ISNUMBER(FIND("@",I90))),"OK","CHECK"))</f>
        <v/>
      </c>
    </row>
    <row r="91" customFormat="false" ht="15" hidden="false" customHeight="false" outlineLevel="0" collapsed="false">
      <c r="F91" s="7"/>
      <c r="H91" s="9"/>
      <c r="J91" s="8"/>
      <c r="K91" s="8"/>
      <c r="M91" s="9"/>
      <c r="P91" s="8"/>
      <c r="Q91" s="8"/>
      <c r="U91" s="0" t="str">
        <f aca="false">IF(A91="","",IF(AND(COUNTIF(Students!$A$2:$A$500,B91)=1,COUNTIF($A$2:$A$1000,A91)=1,ISNUMBER(H91),ISNUMBER(FIND("@",I91))),"OK","CHECK"))</f>
        <v/>
      </c>
    </row>
    <row r="92" customFormat="false" ht="15" hidden="false" customHeight="false" outlineLevel="0" collapsed="false">
      <c r="F92" s="7"/>
      <c r="H92" s="9"/>
      <c r="J92" s="8"/>
      <c r="K92" s="8"/>
      <c r="M92" s="9"/>
      <c r="P92" s="8"/>
      <c r="Q92" s="8"/>
      <c r="U92" s="0" t="str">
        <f aca="false">IF(A92="","",IF(AND(COUNTIF(Students!$A$2:$A$500,B92)=1,COUNTIF($A$2:$A$1000,A92)=1,ISNUMBER(H92),ISNUMBER(FIND("@",I92))),"OK","CHECK"))</f>
        <v/>
      </c>
    </row>
    <row r="93" customFormat="false" ht="15" hidden="false" customHeight="false" outlineLevel="0" collapsed="false">
      <c r="F93" s="7"/>
      <c r="H93" s="9"/>
      <c r="J93" s="8"/>
      <c r="K93" s="8"/>
      <c r="M93" s="9"/>
      <c r="P93" s="8"/>
      <c r="Q93" s="8"/>
      <c r="U93" s="0" t="str">
        <f aca="false">IF(A93="","",IF(AND(COUNTIF(Students!$A$2:$A$500,B93)=1,COUNTIF($A$2:$A$1000,A93)=1,ISNUMBER(H93),ISNUMBER(FIND("@",I93))),"OK","CHECK"))</f>
        <v/>
      </c>
    </row>
    <row r="94" customFormat="false" ht="15" hidden="false" customHeight="false" outlineLevel="0" collapsed="false">
      <c r="F94" s="7"/>
      <c r="H94" s="9"/>
      <c r="J94" s="8"/>
      <c r="K94" s="8"/>
      <c r="M94" s="9"/>
      <c r="P94" s="8"/>
      <c r="Q94" s="8"/>
      <c r="U94" s="0" t="str">
        <f aca="false">IF(A94="","",IF(AND(COUNTIF(Students!$A$2:$A$500,B94)=1,COUNTIF($A$2:$A$1000,A94)=1,ISNUMBER(H94),ISNUMBER(FIND("@",I94))),"OK","CHECK"))</f>
        <v/>
      </c>
    </row>
    <row r="95" customFormat="false" ht="15" hidden="false" customHeight="false" outlineLevel="0" collapsed="false">
      <c r="F95" s="7"/>
      <c r="H95" s="9"/>
      <c r="J95" s="8"/>
      <c r="K95" s="8"/>
      <c r="M95" s="9"/>
      <c r="P95" s="8"/>
      <c r="Q95" s="8"/>
      <c r="U95" s="0" t="str">
        <f aca="false">IF(A95="","",IF(AND(COUNTIF(Students!$A$2:$A$500,B95)=1,COUNTIF($A$2:$A$1000,A95)=1,ISNUMBER(H95),ISNUMBER(FIND("@",I95))),"OK","CHECK"))</f>
        <v/>
      </c>
    </row>
    <row r="96" customFormat="false" ht="15" hidden="false" customHeight="false" outlineLevel="0" collapsed="false">
      <c r="F96" s="7"/>
      <c r="H96" s="9"/>
      <c r="J96" s="8"/>
      <c r="K96" s="8"/>
      <c r="M96" s="9"/>
      <c r="P96" s="8"/>
      <c r="Q96" s="8"/>
      <c r="U96" s="0" t="str">
        <f aca="false">IF(A96="","",IF(AND(COUNTIF(Students!$A$2:$A$500,B96)=1,COUNTIF($A$2:$A$1000,A96)=1,ISNUMBER(H96),ISNUMBER(FIND("@",I96))),"OK","CHECK"))</f>
        <v/>
      </c>
    </row>
    <row r="97" customFormat="false" ht="15" hidden="false" customHeight="false" outlineLevel="0" collapsed="false">
      <c r="F97" s="7"/>
      <c r="H97" s="9"/>
      <c r="J97" s="8"/>
      <c r="K97" s="8"/>
      <c r="M97" s="9"/>
      <c r="P97" s="8"/>
      <c r="Q97" s="8"/>
      <c r="U97" s="0" t="str">
        <f aca="false">IF(A97="","",IF(AND(COUNTIF(Students!$A$2:$A$500,B97)=1,COUNTIF($A$2:$A$1000,A97)=1,ISNUMBER(H97),ISNUMBER(FIND("@",I97))),"OK","CHECK"))</f>
        <v/>
      </c>
    </row>
    <row r="98" customFormat="false" ht="15" hidden="false" customHeight="false" outlineLevel="0" collapsed="false">
      <c r="F98" s="7"/>
      <c r="H98" s="9"/>
      <c r="J98" s="8"/>
      <c r="K98" s="8"/>
      <c r="M98" s="9"/>
      <c r="P98" s="8"/>
      <c r="Q98" s="8"/>
      <c r="U98" s="0" t="str">
        <f aca="false">IF(A98="","",IF(AND(COUNTIF(Students!$A$2:$A$500,B98)=1,COUNTIF($A$2:$A$1000,A98)=1,ISNUMBER(H98),ISNUMBER(FIND("@",I98))),"OK","CHECK"))</f>
        <v/>
      </c>
    </row>
    <row r="99" customFormat="false" ht="15" hidden="false" customHeight="false" outlineLevel="0" collapsed="false">
      <c r="F99" s="7"/>
      <c r="H99" s="9"/>
      <c r="J99" s="8"/>
      <c r="K99" s="8"/>
      <c r="M99" s="9"/>
      <c r="P99" s="8"/>
      <c r="Q99" s="8"/>
      <c r="U99" s="0" t="str">
        <f aca="false">IF(A99="","",IF(AND(COUNTIF(Students!$A$2:$A$500,B99)=1,COUNTIF($A$2:$A$1000,A99)=1,ISNUMBER(H99),ISNUMBER(FIND("@",I99))),"OK","CHECK"))</f>
        <v/>
      </c>
    </row>
    <row r="100" customFormat="false" ht="15" hidden="false" customHeight="false" outlineLevel="0" collapsed="false">
      <c r="F100" s="7"/>
      <c r="H100" s="9"/>
      <c r="J100" s="8"/>
      <c r="K100" s="8"/>
      <c r="M100" s="9"/>
      <c r="P100" s="8"/>
      <c r="Q100" s="8"/>
      <c r="U100" s="0" t="str">
        <f aca="false">IF(A100="","",IF(AND(COUNTIF(Students!$A$2:$A$500,B100)=1,COUNTIF($A$2:$A$1000,A100)=1,ISNUMBER(H100),ISNUMBER(FIND("@",I100))),"OK","CHECK"))</f>
        <v/>
      </c>
    </row>
    <row r="101" customFormat="false" ht="15" hidden="false" customHeight="false" outlineLevel="0" collapsed="false">
      <c r="F101" s="7"/>
      <c r="H101" s="9"/>
      <c r="J101" s="8"/>
      <c r="K101" s="8"/>
      <c r="M101" s="9"/>
      <c r="P101" s="8"/>
      <c r="Q101" s="8"/>
      <c r="U101" s="0" t="str">
        <f aca="false">IF(A101="","",IF(AND(COUNTIF(Students!$A$2:$A$500,B101)=1,COUNTIF($A$2:$A$1000,A101)=1,ISNUMBER(H101),ISNUMBER(FIND("@",I101))),"OK","CHECK"))</f>
        <v/>
      </c>
    </row>
    <row r="102" customFormat="false" ht="15" hidden="false" customHeight="false" outlineLevel="0" collapsed="false">
      <c r="F102" s="7"/>
      <c r="H102" s="9"/>
      <c r="J102" s="8"/>
      <c r="K102" s="8"/>
      <c r="M102" s="9"/>
      <c r="P102" s="8"/>
      <c r="Q102" s="8"/>
      <c r="U102" s="0" t="str">
        <f aca="false">IF(A102="","",IF(AND(COUNTIF(Students!$A$2:$A$500,B102)=1,COUNTIF($A$2:$A$1000,A102)=1,ISNUMBER(H102),ISNUMBER(FIND("@",I102))),"OK","CHECK"))</f>
        <v/>
      </c>
    </row>
    <row r="103" customFormat="false" ht="15" hidden="false" customHeight="false" outlineLevel="0" collapsed="false">
      <c r="F103" s="7"/>
      <c r="H103" s="9"/>
      <c r="J103" s="8"/>
      <c r="K103" s="8"/>
      <c r="M103" s="9"/>
      <c r="P103" s="8"/>
      <c r="Q103" s="8"/>
      <c r="U103" s="0" t="str">
        <f aca="false">IF(A103="","",IF(AND(COUNTIF(Students!$A$2:$A$500,B103)=1,COUNTIF($A$2:$A$1000,A103)=1,ISNUMBER(H103),ISNUMBER(FIND("@",I103))),"OK","CHECK"))</f>
        <v/>
      </c>
    </row>
    <row r="104" customFormat="false" ht="15" hidden="false" customHeight="false" outlineLevel="0" collapsed="false">
      <c r="F104" s="7"/>
      <c r="H104" s="9"/>
      <c r="J104" s="8"/>
      <c r="K104" s="8"/>
      <c r="M104" s="9"/>
      <c r="P104" s="8"/>
      <c r="Q104" s="8"/>
      <c r="U104" s="0" t="str">
        <f aca="false">IF(A104="","",IF(AND(COUNTIF(Students!$A$2:$A$500,B104)=1,COUNTIF($A$2:$A$1000,A104)=1,ISNUMBER(H104),ISNUMBER(FIND("@",I104))),"OK","CHECK"))</f>
        <v/>
      </c>
    </row>
    <row r="105" customFormat="false" ht="15" hidden="false" customHeight="false" outlineLevel="0" collapsed="false">
      <c r="F105" s="7"/>
      <c r="H105" s="9"/>
      <c r="J105" s="8"/>
      <c r="K105" s="8"/>
      <c r="M105" s="9"/>
      <c r="P105" s="8"/>
      <c r="Q105" s="8"/>
      <c r="U105" s="0" t="str">
        <f aca="false">IF(A105="","",IF(AND(COUNTIF(Students!$A$2:$A$500,B105)=1,COUNTIF($A$2:$A$1000,A105)=1,ISNUMBER(H105),ISNUMBER(FIND("@",I105))),"OK","CHECK"))</f>
        <v/>
      </c>
    </row>
    <row r="106" customFormat="false" ht="15" hidden="false" customHeight="false" outlineLevel="0" collapsed="false">
      <c r="F106" s="7"/>
      <c r="H106" s="9"/>
      <c r="J106" s="8"/>
      <c r="K106" s="8"/>
      <c r="M106" s="9"/>
      <c r="P106" s="8"/>
      <c r="Q106" s="8"/>
      <c r="U106" s="0" t="str">
        <f aca="false">IF(A106="","",IF(AND(COUNTIF(Students!$A$2:$A$500,B106)=1,COUNTIF($A$2:$A$1000,A106)=1,ISNUMBER(H106),ISNUMBER(FIND("@",I106))),"OK","CHECK"))</f>
        <v/>
      </c>
    </row>
    <row r="107" customFormat="false" ht="15" hidden="false" customHeight="false" outlineLevel="0" collapsed="false">
      <c r="F107" s="7"/>
      <c r="H107" s="9"/>
      <c r="J107" s="8"/>
      <c r="K107" s="8"/>
      <c r="M107" s="9"/>
      <c r="P107" s="8"/>
      <c r="Q107" s="8"/>
      <c r="U107" s="0" t="str">
        <f aca="false">IF(A107="","",IF(AND(COUNTIF(Students!$A$2:$A$500,B107)=1,COUNTIF($A$2:$A$1000,A107)=1,ISNUMBER(H107),ISNUMBER(FIND("@",I107))),"OK","CHECK"))</f>
        <v/>
      </c>
    </row>
    <row r="108" customFormat="false" ht="15" hidden="false" customHeight="false" outlineLevel="0" collapsed="false">
      <c r="F108" s="7"/>
      <c r="H108" s="9"/>
      <c r="J108" s="8"/>
      <c r="K108" s="8"/>
      <c r="M108" s="9"/>
      <c r="P108" s="8"/>
      <c r="Q108" s="8"/>
      <c r="U108" s="0" t="str">
        <f aca="false">IF(A108="","",IF(AND(COUNTIF(Students!$A$2:$A$500,B108)=1,COUNTIF($A$2:$A$1000,A108)=1,ISNUMBER(H108),ISNUMBER(FIND("@",I108))),"OK","CHECK"))</f>
        <v/>
      </c>
    </row>
    <row r="109" customFormat="false" ht="15" hidden="false" customHeight="false" outlineLevel="0" collapsed="false">
      <c r="F109" s="7"/>
      <c r="H109" s="9"/>
      <c r="J109" s="8"/>
      <c r="K109" s="8"/>
      <c r="M109" s="9"/>
      <c r="P109" s="8"/>
      <c r="Q109" s="8"/>
      <c r="U109" s="0" t="str">
        <f aca="false">IF(A109="","",IF(AND(COUNTIF(Students!$A$2:$A$500,B109)=1,COUNTIF($A$2:$A$1000,A109)=1,ISNUMBER(H109),ISNUMBER(FIND("@",I109))),"OK","CHECK"))</f>
        <v/>
      </c>
    </row>
    <row r="110" customFormat="false" ht="15" hidden="false" customHeight="false" outlineLevel="0" collapsed="false">
      <c r="F110" s="7"/>
      <c r="H110" s="9"/>
      <c r="J110" s="8"/>
      <c r="K110" s="8"/>
      <c r="M110" s="9"/>
      <c r="P110" s="8"/>
      <c r="Q110" s="8"/>
      <c r="U110" s="0" t="str">
        <f aca="false">IF(A110="","",IF(AND(COUNTIF(Students!$A$2:$A$500,B110)=1,COUNTIF($A$2:$A$1000,A110)=1,ISNUMBER(H110),ISNUMBER(FIND("@",I110))),"OK","CHECK"))</f>
        <v/>
      </c>
    </row>
    <row r="111" customFormat="false" ht="15" hidden="false" customHeight="false" outlineLevel="0" collapsed="false">
      <c r="F111" s="7"/>
      <c r="H111" s="9"/>
      <c r="J111" s="8"/>
      <c r="K111" s="8"/>
      <c r="M111" s="9"/>
      <c r="P111" s="8"/>
      <c r="Q111" s="8"/>
      <c r="U111" s="0" t="str">
        <f aca="false">IF(A111="","",IF(AND(COUNTIF(Students!$A$2:$A$500,B111)=1,COUNTIF($A$2:$A$1000,A111)=1,ISNUMBER(H111),ISNUMBER(FIND("@",I111))),"OK","CHECK"))</f>
        <v/>
      </c>
    </row>
    <row r="112" customFormat="false" ht="15" hidden="false" customHeight="false" outlineLevel="0" collapsed="false">
      <c r="F112" s="7"/>
      <c r="H112" s="9"/>
      <c r="J112" s="8"/>
      <c r="K112" s="8"/>
      <c r="M112" s="9"/>
      <c r="P112" s="8"/>
      <c r="Q112" s="8"/>
      <c r="U112" s="0" t="str">
        <f aca="false">IF(A112="","",IF(AND(COUNTIF(Students!$A$2:$A$500,B112)=1,COUNTIF($A$2:$A$1000,A112)=1,ISNUMBER(H112),ISNUMBER(FIND("@",I112))),"OK","CHECK"))</f>
        <v/>
      </c>
    </row>
    <row r="113" customFormat="false" ht="15" hidden="false" customHeight="false" outlineLevel="0" collapsed="false">
      <c r="F113" s="7"/>
      <c r="H113" s="9"/>
      <c r="J113" s="8"/>
      <c r="K113" s="8"/>
      <c r="M113" s="9"/>
      <c r="P113" s="8"/>
      <c r="Q113" s="8"/>
      <c r="U113" s="0" t="str">
        <f aca="false">IF(A113="","",IF(AND(COUNTIF(Students!$A$2:$A$500,B113)=1,COUNTIF($A$2:$A$1000,A113)=1,ISNUMBER(H113),ISNUMBER(FIND("@",I113))),"OK","CHECK"))</f>
        <v/>
      </c>
    </row>
    <row r="114" customFormat="false" ht="15" hidden="false" customHeight="false" outlineLevel="0" collapsed="false">
      <c r="F114" s="7"/>
      <c r="H114" s="9"/>
      <c r="J114" s="8"/>
      <c r="K114" s="8"/>
      <c r="M114" s="9"/>
      <c r="P114" s="8"/>
      <c r="Q114" s="8"/>
      <c r="U114" s="0" t="str">
        <f aca="false">IF(A114="","",IF(AND(COUNTIF(Students!$A$2:$A$500,B114)=1,COUNTIF($A$2:$A$1000,A114)=1,ISNUMBER(H114),ISNUMBER(FIND("@",I114))),"OK","CHECK"))</f>
        <v/>
      </c>
    </row>
    <row r="115" customFormat="false" ht="15" hidden="false" customHeight="false" outlineLevel="0" collapsed="false">
      <c r="F115" s="7"/>
      <c r="H115" s="9"/>
      <c r="J115" s="8"/>
      <c r="K115" s="8"/>
      <c r="M115" s="9"/>
      <c r="P115" s="8"/>
      <c r="Q115" s="8"/>
      <c r="U115" s="0" t="str">
        <f aca="false">IF(A115="","",IF(AND(COUNTIF(Students!$A$2:$A$500,B115)=1,COUNTIF($A$2:$A$1000,A115)=1,ISNUMBER(H115),ISNUMBER(FIND("@",I115))),"OK","CHECK"))</f>
        <v/>
      </c>
    </row>
    <row r="116" customFormat="false" ht="15" hidden="false" customHeight="false" outlineLevel="0" collapsed="false">
      <c r="F116" s="7"/>
      <c r="H116" s="9"/>
      <c r="J116" s="8"/>
      <c r="K116" s="8"/>
      <c r="M116" s="9"/>
      <c r="P116" s="8"/>
      <c r="Q116" s="8"/>
      <c r="U116" s="0" t="str">
        <f aca="false">IF(A116="","",IF(AND(COUNTIF(Students!$A$2:$A$500,B116)=1,COUNTIF($A$2:$A$1000,A116)=1,ISNUMBER(H116),ISNUMBER(FIND("@",I116))),"OK","CHECK"))</f>
        <v/>
      </c>
    </row>
    <row r="117" customFormat="false" ht="15" hidden="false" customHeight="false" outlineLevel="0" collapsed="false">
      <c r="F117" s="7"/>
      <c r="H117" s="9"/>
      <c r="J117" s="8"/>
      <c r="K117" s="8"/>
      <c r="M117" s="9"/>
      <c r="P117" s="8"/>
      <c r="Q117" s="8"/>
      <c r="U117" s="0" t="str">
        <f aca="false">IF(A117="","",IF(AND(COUNTIF(Students!$A$2:$A$500,B117)=1,COUNTIF($A$2:$A$1000,A117)=1,ISNUMBER(H117),ISNUMBER(FIND("@",I117))),"OK","CHECK"))</f>
        <v/>
      </c>
    </row>
    <row r="118" customFormat="false" ht="15" hidden="false" customHeight="false" outlineLevel="0" collapsed="false">
      <c r="F118" s="7"/>
      <c r="H118" s="9"/>
      <c r="J118" s="8"/>
      <c r="K118" s="8"/>
      <c r="M118" s="9"/>
      <c r="P118" s="8"/>
      <c r="Q118" s="8"/>
      <c r="U118" s="0" t="str">
        <f aca="false">IF(A118="","",IF(AND(COUNTIF(Students!$A$2:$A$500,B118)=1,COUNTIF($A$2:$A$1000,A118)=1,ISNUMBER(H118),ISNUMBER(FIND("@",I118))),"OK","CHECK"))</f>
        <v/>
      </c>
    </row>
    <row r="119" customFormat="false" ht="15" hidden="false" customHeight="false" outlineLevel="0" collapsed="false">
      <c r="F119" s="7"/>
      <c r="H119" s="9"/>
      <c r="J119" s="8"/>
      <c r="K119" s="8"/>
      <c r="M119" s="9"/>
      <c r="P119" s="8"/>
      <c r="Q119" s="8"/>
      <c r="U119" s="0" t="str">
        <f aca="false">IF(A119="","",IF(AND(COUNTIF(Students!$A$2:$A$500,B119)=1,COUNTIF($A$2:$A$1000,A119)=1,ISNUMBER(H119),ISNUMBER(FIND("@",I119))),"OK","CHECK"))</f>
        <v/>
      </c>
    </row>
    <row r="120" customFormat="false" ht="15" hidden="false" customHeight="false" outlineLevel="0" collapsed="false">
      <c r="F120" s="7"/>
      <c r="H120" s="9"/>
      <c r="J120" s="8"/>
      <c r="K120" s="8"/>
      <c r="M120" s="9"/>
      <c r="P120" s="8"/>
      <c r="Q120" s="8"/>
      <c r="U120" s="0" t="str">
        <f aca="false">IF(A120="","",IF(AND(COUNTIF(Students!$A$2:$A$500,B120)=1,COUNTIF($A$2:$A$1000,A120)=1,ISNUMBER(H120),ISNUMBER(FIND("@",I120))),"OK","CHECK"))</f>
        <v/>
      </c>
    </row>
    <row r="121" customFormat="false" ht="15" hidden="false" customHeight="false" outlineLevel="0" collapsed="false">
      <c r="F121" s="7"/>
      <c r="H121" s="9"/>
      <c r="J121" s="8"/>
      <c r="K121" s="8"/>
      <c r="M121" s="9"/>
      <c r="P121" s="8"/>
      <c r="Q121" s="8"/>
      <c r="U121" s="0" t="str">
        <f aca="false">IF(A121="","",IF(AND(COUNTIF(Students!$A$2:$A$500,B121)=1,COUNTIF($A$2:$A$1000,A121)=1,ISNUMBER(H121),ISNUMBER(FIND("@",I121))),"OK","CHECK"))</f>
        <v/>
      </c>
    </row>
    <row r="122" customFormat="false" ht="15" hidden="false" customHeight="false" outlineLevel="0" collapsed="false">
      <c r="F122" s="7"/>
      <c r="H122" s="9"/>
      <c r="J122" s="8"/>
      <c r="K122" s="8"/>
      <c r="M122" s="9"/>
      <c r="P122" s="8"/>
      <c r="Q122" s="8"/>
      <c r="U122" s="0" t="str">
        <f aca="false">IF(A122="","",IF(AND(COUNTIF(Students!$A$2:$A$500,B122)=1,COUNTIF($A$2:$A$1000,A122)=1,ISNUMBER(H122),ISNUMBER(FIND("@",I122))),"OK","CHECK"))</f>
        <v/>
      </c>
    </row>
    <row r="123" customFormat="false" ht="15" hidden="false" customHeight="false" outlineLevel="0" collapsed="false">
      <c r="F123" s="7"/>
      <c r="H123" s="9"/>
      <c r="J123" s="8"/>
      <c r="K123" s="8"/>
      <c r="M123" s="9"/>
      <c r="P123" s="8"/>
      <c r="Q123" s="8"/>
      <c r="U123" s="0" t="str">
        <f aca="false">IF(A123="","",IF(AND(COUNTIF(Students!$A$2:$A$500,B123)=1,COUNTIF($A$2:$A$1000,A123)=1,ISNUMBER(H123),ISNUMBER(FIND("@",I123))),"OK","CHECK"))</f>
        <v/>
      </c>
    </row>
    <row r="124" customFormat="false" ht="15" hidden="false" customHeight="false" outlineLevel="0" collapsed="false">
      <c r="F124" s="7"/>
      <c r="H124" s="9"/>
      <c r="J124" s="8"/>
      <c r="K124" s="8"/>
      <c r="M124" s="9"/>
      <c r="P124" s="8"/>
      <c r="Q124" s="8"/>
      <c r="U124" s="0" t="str">
        <f aca="false">IF(A124="","",IF(AND(COUNTIF(Students!$A$2:$A$500,B124)=1,COUNTIF($A$2:$A$1000,A124)=1,ISNUMBER(H124),ISNUMBER(FIND("@",I124))),"OK","CHECK"))</f>
        <v/>
      </c>
    </row>
    <row r="125" customFormat="false" ht="15" hidden="false" customHeight="false" outlineLevel="0" collapsed="false">
      <c r="F125" s="7"/>
      <c r="H125" s="9"/>
      <c r="J125" s="8"/>
      <c r="K125" s="8"/>
      <c r="M125" s="9"/>
      <c r="P125" s="8"/>
      <c r="Q125" s="8"/>
      <c r="U125" s="0" t="str">
        <f aca="false">IF(A125="","",IF(AND(COUNTIF(Students!$A$2:$A$500,B125)=1,COUNTIF($A$2:$A$1000,A125)=1,ISNUMBER(H125),ISNUMBER(FIND("@",I125))),"OK","CHECK"))</f>
        <v/>
      </c>
    </row>
    <row r="126" customFormat="false" ht="15" hidden="false" customHeight="false" outlineLevel="0" collapsed="false">
      <c r="F126" s="7"/>
      <c r="H126" s="9"/>
      <c r="J126" s="8"/>
      <c r="K126" s="8"/>
      <c r="M126" s="9"/>
      <c r="P126" s="8"/>
      <c r="Q126" s="8"/>
      <c r="U126" s="0" t="str">
        <f aca="false">IF(A126="","",IF(AND(COUNTIF(Students!$A$2:$A$500,B126)=1,COUNTIF($A$2:$A$1000,A126)=1,ISNUMBER(H126),ISNUMBER(FIND("@",I126))),"OK","CHECK"))</f>
        <v/>
      </c>
    </row>
    <row r="127" customFormat="false" ht="15" hidden="false" customHeight="false" outlineLevel="0" collapsed="false">
      <c r="F127" s="7"/>
      <c r="H127" s="9"/>
      <c r="J127" s="8"/>
      <c r="K127" s="8"/>
      <c r="M127" s="9"/>
      <c r="P127" s="8"/>
      <c r="Q127" s="8"/>
      <c r="U127" s="0" t="str">
        <f aca="false">IF(A127="","",IF(AND(COUNTIF(Students!$A$2:$A$500,B127)=1,COUNTIF($A$2:$A$1000,A127)=1,ISNUMBER(H127),ISNUMBER(FIND("@",I127))),"OK","CHECK"))</f>
        <v/>
      </c>
    </row>
    <row r="128" customFormat="false" ht="15" hidden="false" customHeight="false" outlineLevel="0" collapsed="false">
      <c r="F128" s="7"/>
      <c r="H128" s="9"/>
      <c r="J128" s="8"/>
      <c r="K128" s="8"/>
      <c r="M128" s="9"/>
      <c r="P128" s="8"/>
      <c r="Q128" s="8"/>
      <c r="U128" s="0" t="str">
        <f aca="false">IF(A128="","",IF(AND(COUNTIF(Students!$A$2:$A$500,B128)=1,COUNTIF($A$2:$A$1000,A128)=1,ISNUMBER(H128),ISNUMBER(FIND("@",I128))),"OK","CHECK"))</f>
        <v/>
      </c>
    </row>
    <row r="129" customFormat="false" ht="15" hidden="false" customHeight="false" outlineLevel="0" collapsed="false">
      <c r="F129" s="7"/>
      <c r="H129" s="9"/>
      <c r="J129" s="8"/>
      <c r="K129" s="8"/>
      <c r="M129" s="9"/>
      <c r="P129" s="8"/>
      <c r="Q129" s="8"/>
      <c r="U129" s="0" t="str">
        <f aca="false">IF(A129="","",IF(AND(COUNTIF(Students!$A$2:$A$500,B129)=1,COUNTIF($A$2:$A$1000,A129)=1,ISNUMBER(H129),ISNUMBER(FIND("@",I129))),"OK","CHECK"))</f>
        <v/>
      </c>
    </row>
    <row r="130" customFormat="false" ht="15" hidden="false" customHeight="false" outlineLevel="0" collapsed="false">
      <c r="F130" s="7"/>
      <c r="H130" s="9"/>
      <c r="J130" s="8"/>
      <c r="K130" s="8"/>
      <c r="M130" s="9"/>
      <c r="P130" s="8"/>
      <c r="Q130" s="8"/>
      <c r="U130" s="0" t="str">
        <f aca="false">IF(A130="","",IF(AND(COUNTIF(Students!$A$2:$A$500,B130)=1,COUNTIF($A$2:$A$1000,A130)=1,ISNUMBER(H130),ISNUMBER(FIND("@",I130))),"OK","CHECK"))</f>
        <v/>
      </c>
    </row>
    <row r="131" customFormat="false" ht="15" hidden="false" customHeight="false" outlineLevel="0" collapsed="false">
      <c r="F131" s="7"/>
      <c r="H131" s="9"/>
      <c r="J131" s="8"/>
      <c r="K131" s="8"/>
      <c r="M131" s="9"/>
      <c r="P131" s="8"/>
      <c r="Q131" s="8"/>
      <c r="U131" s="0" t="str">
        <f aca="false">IF(A131="","",IF(AND(COUNTIF(Students!$A$2:$A$500,B131)=1,COUNTIF($A$2:$A$1000,A131)=1,ISNUMBER(H131),ISNUMBER(FIND("@",I131))),"OK","CHECK"))</f>
        <v/>
      </c>
    </row>
    <row r="132" customFormat="false" ht="15" hidden="false" customHeight="false" outlineLevel="0" collapsed="false">
      <c r="F132" s="7"/>
      <c r="H132" s="9"/>
      <c r="J132" s="8"/>
      <c r="K132" s="8"/>
      <c r="M132" s="9"/>
      <c r="P132" s="8"/>
      <c r="Q132" s="8"/>
      <c r="U132" s="0" t="str">
        <f aca="false">IF(A132="","",IF(AND(COUNTIF(Students!$A$2:$A$500,B132)=1,COUNTIF($A$2:$A$1000,A132)=1,ISNUMBER(H132),ISNUMBER(FIND("@",I132))),"OK","CHECK"))</f>
        <v/>
      </c>
    </row>
    <row r="133" customFormat="false" ht="15" hidden="false" customHeight="false" outlineLevel="0" collapsed="false">
      <c r="F133" s="7"/>
      <c r="H133" s="9"/>
      <c r="J133" s="8"/>
      <c r="K133" s="8"/>
      <c r="M133" s="9"/>
      <c r="P133" s="8"/>
      <c r="Q133" s="8"/>
      <c r="U133" s="0" t="str">
        <f aca="false">IF(A133="","",IF(AND(COUNTIF(Students!$A$2:$A$500,B133)=1,COUNTIF($A$2:$A$1000,A133)=1,ISNUMBER(H133),ISNUMBER(FIND("@",I133))),"OK","CHECK"))</f>
        <v/>
      </c>
    </row>
    <row r="134" customFormat="false" ht="15" hidden="false" customHeight="false" outlineLevel="0" collapsed="false">
      <c r="F134" s="7"/>
      <c r="H134" s="9"/>
      <c r="J134" s="8"/>
      <c r="K134" s="8"/>
      <c r="M134" s="9"/>
      <c r="P134" s="8"/>
      <c r="Q134" s="8"/>
      <c r="U134" s="0" t="str">
        <f aca="false">IF(A134="","",IF(AND(COUNTIF(Students!$A$2:$A$500,B134)=1,COUNTIF($A$2:$A$1000,A134)=1,ISNUMBER(H134),ISNUMBER(FIND("@",I134))),"OK","CHECK"))</f>
        <v/>
      </c>
    </row>
    <row r="135" customFormat="false" ht="15" hidden="false" customHeight="false" outlineLevel="0" collapsed="false">
      <c r="F135" s="7"/>
      <c r="H135" s="9"/>
      <c r="J135" s="8"/>
      <c r="K135" s="8"/>
      <c r="M135" s="9"/>
      <c r="P135" s="8"/>
      <c r="Q135" s="8"/>
      <c r="U135" s="0" t="str">
        <f aca="false">IF(A135="","",IF(AND(COUNTIF(Students!$A$2:$A$500,B135)=1,COUNTIF($A$2:$A$1000,A135)=1,ISNUMBER(H135),ISNUMBER(FIND("@",I135))),"OK","CHECK"))</f>
        <v/>
      </c>
    </row>
    <row r="136" customFormat="false" ht="15" hidden="false" customHeight="false" outlineLevel="0" collapsed="false">
      <c r="F136" s="7"/>
      <c r="H136" s="9"/>
      <c r="J136" s="8"/>
      <c r="K136" s="8"/>
      <c r="M136" s="9"/>
      <c r="P136" s="8"/>
      <c r="Q136" s="8"/>
      <c r="U136" s="0" t="str">
        <f aca="false">IF(A136="","",IF(AND(COUNTIF(Students!$A$2:$A$500,B136)=1,COUNTIF($A$2:$A$1000,A136)=1,ISNUMBER(H136),ISNUMBER(FIND("@",I136))),"OK","CHECK"))</f>
        <v/>
      </c>
    </row>
    <row r="137" customFormat="false" ht="15" hidden="false" customHeight="false" outlineLevel="0" collapsed="false">
      <c r="F137" s="7"/>
      <c r="H137" s="9"/>
      <c r="J137" s="8"/>
      <c r="K137" s="8"/>
      <c r="M137" s="9"/>
      <c r="P137" s="8"/>
      <c r="Q137" s="8"/>
      <c r="U137" s="0" t="str">
        <f aca="false">IF(A137="","",IF(AND(COUNTIF(Students!$A$2:$A$500,B137)=1,COUNTIF($A$2:$A$1000,A137)=1,ISNUMBER(H137),ISNUMBER(FIND("@",I137))),"OK","CHECK"))</f>
        <v/>
      </c>
    </row>
    <row r="138" customFormat="false" ht="15" hidden="false" customHeight="false" outlineLevel="0" collapsed="false">
      <c r="F138" s="7"/>
      <c r="H138" s="9"/>
      <c r="J138" s="8"/>
      <c r="K138" s="8"/>
      <c r="M138" s="9"/>
      <c r="P138" s="8"/>
      <c r="Q138" s="8"/>
      <c r="U138" s="0" t="str">
        <f aca="false">IF(A138="","",IF(AND(COUNTIF(Students!$A$2:$A$500,B138)=1,COUNTIF($A$2:$A$1000,A138)=1,ISNUMBER(H138),ISNUMBER(FIND("@",I138))),"OK","CHECK"))</f>
        <v/>
      </c>
    </row>
    <row r="139" customFormat="false" ht="15" hidden="false" customHeight="false" outlineLevel="0" collapsed="false">
      <c r="F139" s="7"/>
      <c r="H139" s="9"/>
      <c r="J139" s="8"/>
      <c r="K139" s="8"/>
      <c r="M139" s="9"/>
      <c r="P139" s="8"/>
      <c r="Q139" s="8"/>
      <c r="U139" s="0" t="str">
        <f aca="false">IF(A139="","",IF(AND(COUNTIF(Students!$A$2:$A$500,B139)=1,COUNTIF($A$2:$A$1000,A139)=1,ISNUMBER(H139),ISNUMBER(FIND("@",I139))),"OK","CHECK"))</f>
        <v/>
      </c>
    </row>
    <row r="140" customFormat="false" ht="15" hidden="false" customHeight="false" outlineLevel="0" collapsed="false">
      <c r="F140" s="7"/>
      <c r="H140" s="9"/>
      <c r="J140" s="8"/>
      <c r="K140" s="8"/>
      <c r="M140" s="9"/>
      <c r="P140" s="8"/>
      <c r="Q140" s="8"/>
      <c r="U140" s="0" t="str">
        <f aca="false">IF(A140="","",IF(AND(COUNTIF(Students!$A$2:$A$500,B140)=1,COUNTIF($A$2:$A$1000,A140)=1,ISNUMBER(H140),ISNUMBER(FIND("@",I140))),"OK","CHECK"))</f>
        <v/>
      </c>
    </row>
    <row r="141" customFormat="false" ht="15" hidden="false" customHeight="false" outlineLevel="0" collapsed="false">
      <c r="F141" s="7"/>
      <c r="H141" s="9"/>
      <c r="J141" s="8"/>
      <c r="K141" s="8"/>
      <c r="M141" s="9"/>
      <c r="P141" s="8"/>
      <c r="Q141" s="8"/>
      <c r="U141" s="0" t="str">
        <f aca="false">IF(A141="","",IF(AND(COUNTIF(Students!$A$2:$A$500,B141)=1,COUNTIF($A$2:$A$1000,A141)=1,ISNUMBER(H141),ISNUMBER(FIND("@",I141))),"OK","CHECK"))</f>
        <v/>
      </c>
    </row>
    <row r="142" customFormat="false" ht="15" hidden="false" customHeight="false" outlineLevel="0" collapsed="false">
      <c r="F142" s="7"/>
      <c r="H142" s="9"/>
      <c r="J142" s="8"/>
      <c r="K142" s="8"/>
      <c r="M142" s="9"/>
      <c r="P142" s="8"/>
      <c r="Q142" s="8"/>
      <c r="U142" s="0" t="str">
        <f aca="false">IF(A142="","",IF(AND(COUNTIF(Students!$A$2:$A$500,B142)=1,COUNTIF($A$2:$A$1000,A142)=1,ISNUMBER(H142),ISNUMBER(FIND("@",I142))),"OK","CHECK"))</f>
        <v/>
      </c>
    </row>
    <row r="143" customFormat="false" ht="15" hidden="false" customHeight="false" outlineLevel="0" collapsed="false">
      <c r="F143" s="7"/>
      <c r="H143" s="9"/>
      <c r="J143" s="8"/>
      <c r="K143" s="8"/>
      <c r="M143" s="9"/>
      <c r="P143" s="8"/>
      <c r="Q143" s="8"/>
      <c r="U143" s="0" t="str">
        <f aca="false">IF(A143="","",IF(AND(COUNTIF(Students!$A$2:$A$500,B143)=1,COUNTIF($A$2:$A$1000,A143)=1,ISNUMBER(H143),ISNUMBER(FIND("@",I143))),"OK","CHECK"))</f>
        <v/>
      </c>
    </row>
    <row r="144" customFormat="false" ht="15" hidden="false" customHeight="false" outlineLevel="0" collapsed="false">
      <c r="F144" s="7"/>
      <c r="H144" s="9"/>
      <c r="J144" s="8"/>
      <c r="K144" s="8"/>
      <c r="M144" s="9"/>
      <c r="P144" s="8"/>
      <c r="Q144" s="8"/>
      <c r="U144" s="0" t="str">
        <f aca="false">IF(A144="","",IF(AND(COUNTIF(Students!$A$2:$A$500,B144)=1,COUNTIF($A$2:$A$1000,A144)=1,ISNUMBER(H144),ISNUMBER(FIND("@",I144))),"OK","CHECK"))</f>
        <v/>
      </c>
    </row>
    <row r="145" customFormat="false" ht="15" hidden="false" customHeight="false" outlineLevel="0" collapsed="false">
      <c r="F145" s="7"/>
      <c r="H145" s="9"/>
      <c r="J145" s="8"/>
      <c r="K145" s="8"/>
      <c r="M145" s="9"/>
      <c r="P145" s="8"/>
      <c r="Q145" s="8"/>
      <c r="U145" s="0" t="str">
        <f aca="false">IF(A145="","",IF(AND(COUNTIF(Students!$A$2:$A$500,B145)=1,COUNTIF($A$2:$A$1000,A145)=1,ISNUMBER(H145),ISNUMBER(FIND("@",I145))),"OK","CHECK"))</f>
        <v/>
      </c>
    </row>
    <row r="146" customFormat="false" ht="15" hidden="false" customHeight="false" outlineLevel="0" collapsed="false">
      <c r="F146" s="7"/>
      <c r="H146" s="9"/>
      <c r="J146" s="8"/>
      <c r="K146" s="8"/>
      <c r="M146" s="9"/>
      <c r="P146" s="8"/>
      <c r="Q146" s="8"/>
      <c r="U146" s="0" t="str">
        <f aca="false">IF(A146="","",IF(AND(COUNTIF(Students!$A$2:$A$500,B146)=1,COUNTIF($A$2:$A$1000,A146)=1,ISNUMBER(H146),ISNUMBER(FIND("@",I146))),"OK","CHECK"))</f>
        <v/>
      </c>
    </row>
    <row r="147" customFormat="false" ht="15" hidden="false" customHeight="false" outlineLevel="0" collapsed="false">
      <c r="F147" s="7"/>
      <c r="H147" s="9"/>
      <c r="J147" s="8"/>
      <c r="K147" s="8"/>
      <c r="M147" s="9"/>
      <c r="P147" s="8"/>
      <c r="Q147" s="8"/>
      <c r="U147" s="0" t="str">
        <f aca="false">IF(A147="","",IF(AND(COUNTIF(Students!$A$2:$A$500,B147)=1,COUNTIF($A$2:$A$1000,A147)=1,ISNUMBER(H147),ISNUMBER(FIND("@",I147))),"OK","CHECK"))</f>
        <v/>
      </c>
    </row>
    <row r="148" customFormat="false" ht="15" hidden="false" customHeight="false" outlineLevel="0" collapsed="false">
      <c r="F148" s="7"/>
      <c r="H148" s="9"/>
      <c r="J148" s="8"/>
      <c r="K148" s="8"/>
      <c r="M148" s="9"/>
      <c r="P148" s="8"/>
      <c r="Q148" s="8"/>
      <c r="U148" s="0" t="str">
        <f aca="false">IF(A148="","",IF(AND(COUNTIF(Students!$A$2:$A$500,B148)=1,COUNTIF($A$2:$A$1000,A148)=1,ISNUMBER(H148),ISNUMBER(FIND("@",I148))),"OK","CHECK"))</f>
        <v/>
      </c>
    </row>
    <row r="149" customFormat="false" ht="15" hidden="false" customHeight="false" outlineLevel="0" collapsed="false">
      <c r="F149" s="7"/>
      <c r="H149" s="9"/>
      <c r="J149" s="8"/>
      <c r="K149" s="8"/>
      <c r="M149" s="9"/>
      <c r="P149" s="8"/>
      <c r="Q149" s="8"/>
      <c r="U149" s="0" t="str">
        <f aca="false">IF(A149="","",IF(AND(COUNTIF(Students!$A$2:$A$500,B149)=1,COUNTIF($A$2:$A$1000,A149)=1,ISNUMBER(H149),ISNUMBER(FIND("@",I149))),"OK","CHECK"))</f>
        <v/>
      </c>
    </row>
    <row r="150" customFormat="false" ht="15" hidden="false" customHeight="false" outlineLevel="0" collapsed="false">
      <c r="F150" s="7"/>
      <c r="H150" s="9"/>
      <c r="J150" s="8"/>
      <c r="K150" s="8"/>
      <c r="M150" s="9"/>
      <c r="P150" s="8"/>
      <c r="Q150" s="8"/>
      <c r="U150" s="0" t="str">
        <f aca="false">IF(A150="","",IF(AND(COUNTIF(Students!$A$2:$A$500,B150)=1,COUNTIF($A$2:$A$1000,A150)=1,ISNUMBER(H150),ISNUMBER(FIND("@",I150))),"OK","CHECK"))</f>
        <v/>
      </c>
    </row>
    <row r="151" customFormat="false" ht="15" hidden="false" customHeight="false" outlineLevel="0" collapsed="false">
      <c r="F151" s="7"/>
      <c r="H151" s="9"/>
      <c r="J151" s="8"/>
      <c r="K151" s="8"/>
      <c r="M151" s="9"/>
      <c r="P151" s="8"/>
      <c r="Q151" s="8"/>
      <c r="U151" s="0" t="str">
        <f aca="false">IF(A151="","",IF(AND(COUNTIF(Students!$A$2:$A$500,B151)=1,COUNTIF($A$2:$A$1000,A151)=1,ISNUMBER(H151),ISNUMBER(FIND("@",I151))),"OK","CHECK"))</f>
        <v/>
      </c>
    </row>
    <row r="152" customFormat="false" ht="15" hidden="false" customHeight="false" outlineLevel="0" collapsed="false">
      <c r="F152" s="7"/>
      <c r="H152" s="9"/>
      <c r="J152" s="8"/>
      <c r="K152" s="8"/>
      <c r="M152" s="9"/>
      <c r="P152" s="8"/>
      <c r="Q152" s="8"/>
      <c r="U152" s="0" t="str">
        <f aca="false">IF(A152="","",IF(AND(COUNTIF(Students!$A$2:$A$500,B152)=1,COUNTIF($A$2:$A$1000,A152)=1,ISNUMBER(H152),ISNUMBER(FIND("@",I152))),"OK","CHECK"))</f>
        <v/>
      </c>
    </row>
    <row r="153" customFormat="false" ht="15" hidden="false" customHeight="false" outlineLevel="0" collapsed="false">
      <c r="F153" s="7"/>
      <c r="H153" s="9"/>
      <c r="J153" s="8"/>
      <c r="K153" s="8"/>
      <c r="M153" s="9"/>
      <c r="P153" s="8"/>
      <c r="Q153" s="8"/>
      <c r="U153" s="0" t="str">
        <f aca="false">IF(A153="","",IF(AND(COUNTIF(Students!$A$2:$A$500,B153)=1,COUNTIF($A$2:$A$1000,A153)=1,ISNUMBER(H153),ISNUMBER(FIND("@",I153))),"OK","CHECK"))</f>
        <v/>
      </c>
    </row>
    <row r="154" customFormat="false" ht="15" hidden="false" customHeight="false" outlineLevel="0" collapsed="false">
      <c r="F154" s="7"/>
      <c r="H154" s="9"/>
      <c r="J154" s="8"/>
      <c r="K154" s="8"/>
      <c r="M154" s="9"/>
      <c r="P154" s="8"/>
      <c r="Q154" s="8"/>
      <c r="U154" s="0" t="str">
        <f aca="false">IF(A154="","",IF(AND(COUNTIF(Students!$A$2:$A$500,B154)=1,COUNTIF($A$2:$A$1000,A154)=1,ISNUMBER(H154),ISNUMBER(FIND("@",I154))),"OK","CHECK"))</f>
        <v/>
      </c>
    </row>
    <row r="155" customFormat="false" ht="15" hidden="false" customHeight="false" outlineLevel="0" collapsed="false">
      <c r="F155" s="7"/>
      <c r="H155" s="9"/>
      <c r="J155" s="8"/>
      <c r="K155" s="8"/>
      <c r="M155" s="9"/>
      <c r="P155" s="8"/>
      <c r="Q155" s="8"/>
      <c r="U155" s="0" t="str">
        <f aca="false">IF(A155="","",IF(AND(COUNTIF(Students!$A$2:$A$500,B155)=1,COUNTIF($A$2:$A$1000,A155)=1,ISNUMBER(H155),ISNUMBER(FIND("@",I155))),"OK","CHECK"))</f>
        <v/>
      </c>
    </row>
    <row r="156" customFormat="false" ht="15" hidden="false" customHeight="false" outlineLevel="0" collapsed="false">
      <c r="F156" s="7"/>
      <c r="H156" s="9"/>
      <c r="J156" s="8"/>
      <c r="K156" s="8"/>
      <c r="M156" s="9"/>
      <c r="P156" s="8"/>
      <c r="Q156" s="8"/>
      <c r="U156" s="0" t="str">
        <f aca="false">IF(A156="","",IF(AND(COUNTIF(Students!$A$2:$A$500,B156)=1,COUNTIF($A$2:$A$1000,A156)=1,ISNUMBER(H156),ISNUMBER(FIND("@",I156))),"OK","CHECK"))</f>
        <v/>
      </c>
    </row>
    <row r="157" customFormat="false" ht="15" hidden="false" customHeight="false" outlineLevel="0" collapsed="false">
      <c r="F157" s="7"/>
      <c r="H157" s="9"/>
      <c r="J157" s="8"/>
      <c r="K157" s="8"/>
      <c r="M157" s="9"/>
      <c r="P157" s="8"/>
      <c r="Q157" s="8"/>
      <c r="U157" s="0" t="str">
        <f aca="false">IF(A157="","",IF(AND(COUNTIF(Students!$A$2:$A$500,B157)=1,COUNTIF($A$2:$A$1000,A157)=1,ISNUMBER(H157),ISNUMBER(FIND("@",I157))),"OK","CHECK"))</f>
        <v/>
      </c>
    </row>
    <row r="158" customFormat="false" ht="15" hidden="false" customHeight="false" outlineLevel="0" collapsed="false">
      <c r="F158" s="7"/>
      <c r="H158" s="9"/>
      <c r="J158" s="8"/>
      <c r="K158" s="8"/>
      <c r="M158" s="9"/>
      <c r="P158" s="8"/>
      <c r="Q158" s="8"/>
      <c r="U158" s="0" t="str">
        <f aca="false">IF(A158="","",IF(AND(COUNTIF(Students!$A$2:$A$500,B158)=1,COUNTIF($A$2:$A$1000,A158)=1,ISNUMBER(H158),ISNUMBER(FIND("@",I158))),"OK","CHECK"))</f>
        <v/>
      </c>
    </row>
    <row r="159" customFormat="false" ht="15" hidden="false" customHeight="false" outlineLevel="0" collapsed="false">
      <c r="F159" s="7"/>
      <c r="H159" s="9"/>
      <c r="J159" s="8"/>
      <c r="K159" s="8"/>
      <c r="M159" s="9"/>
      <c r="P159" s="8"/>
      <c r="Q159" s="8"/>
      <c r="U159" s="0" t="str">
        <f aca="false">IF(A159="","",IF(AND(COUNTIF(Students!$A$2:$A$500,B159)=1,COUNTIF($A$2:$A$1000,A159)=1,ISNUMBER(H159),ISNUMBER(FIND("@",I159))),"OK","CHECK"))</f>
        <v/>
      </c>
    </row>
    <row r="160" customFormat="false" ht="15" hidden="false" customHeight="false" outlineLevel="0" collapsed="false">
      <c r="F160" s="7"/>
      <c r="H160" s="9"/>
      <c r="J160" s="8"/>
      <c r="K160" s="8"/>
      <c r="M160" s="9"/>
      <c r="P160" s="8"/>
      <c r="Q160" s="8"/>
      <c r="U160" s="0" t="str">
        <f aca="false">IF(A160="","",IF(AND(COUNTIF(Students!$A$2:$A$500,B160)=1,COUNTIF($A$2:$A$1000,A160)=1,ISNUMBER(H160),ISNUMBER(FIND("@",I160))),"OK","CHECK"))</f>
        <v/>
      </c>
    </row>
    <row r="161" customFormat="false" ht="15" hidden="false" customHeight="false" outlineLevel="0" collapsed="false">
      <c r="F161" s="7"/>
      <c r="H161" s="9"/>
      <c r="J161" s="8"/>
      <c r="K161" s="8"/>
      <c r="M161" s="9"/>
      <c r="P161" s="8"/>
      <c r="Q161" s="8"/>
      <c r="U161" s="0" t="str">
        <f aca="false">IF(A161="","",IF(AND(COUNTIF(Students!$A$2:$A$500,B161)=1,COUNTIF($A$2:$A$1000,A161)=1,ISNUMBER(H161),ISNUMBER(FIND("@",I161))),"OK","CHECK"))</f>
        <v/>
      </c>
    </row>
    <row r="162" customFormat="false" ht="15" hidden="false" customHeight="false" outlineLevel="0" collapsed="false">
      <c r="F162" s="7"/>
      <c r="H162" s="9"/>
      <c r="J162" s="8"/>
      <c r="K162" s="8"/>
      <c r="M162" s="9"/>
      <c r="P162" s="8"/>
      <c r="Q162" s="8"/>
      <c r="U162" s="0" t="str">
        <f aca="false">IF(A162="","",IF(AND(COUNTIF(Students!$A$2:$A$500,B162)=1,COUNTIF($A$2:$A$1000,A162)=1,ISNUMBER(H162),ISNUMBER(FIND("@",I162))),"OK","CHECK"))</f>
        <v/>
      </c>
    </row>
    <row r="163" customFormat="false" ht="15" hidden="false" customHeight="false" outlineLevel="0" collapsed="false">
      <c r="F163" s="7"/>
      <c r="H163" s="9"/>
      <c r="J163" s="8"/>
      <c r="K163" s="8"/>
      <c r="M163" s="9"/>
      <c r="P163" s="8"/>
      <c r="Q163" s="8"/>
      <c r="U163" s="0" t="str">
        <f aca="false">IF(A163="","",IF(AND(COUNTIF(Students!$A$2:$A$500,B163)=1,COUNTIF($A$2:$A$1000,A163)=1,ISNUMBER(H163),ISNUMBER(FIND("@",I163))),"OK","CHECK"))</f>
        <v/>
      </c>
    </row>
    <row r="164" customFormat="false" ht="15" hidden="false" customHeight="false" outlineLevel="0" collapsed="false">
      <c r="F164" s="7"/>
      <c r="H164" s="9"/>
      <c r="J164" s="8"/>
      <c r="K164" s="8"/>
      <c r="M164" s="9"/>
      <c r="P164" s="8"/>
      <c r="Q164" s="8"/>
      <c r="U164" s="0" t="str">
        <f aca="false">IF(A164="","",IF(AND(COUNTIF(Students!$A$2:$A$500,B164)=1,COUNTIF($A$2:$A$1000,A164)=1,ISNUMBER(H164),ISNUMBER(FIND("@",I164))),"OK","CHECK"))</f>
        <v/>
      </c>
    </row>
    <row r="165" customFormat="false" ht="15" hidden="false" customHeight="false" outlineLevel="0" collapsed="false">
      <c r="F165" s="7"/>
      <c r="H165" s="9"/>
      <c r="J165" s="8"/>
      <c r="K165" s="8"/>
      <c r="M165" s="9"/>
      <c r="P165" s="8"/>
      <c r="Q165" s="8"/>
      <c r="U165" s="0" t="str">
        <f aca="false">IF(A165="","",IF(AND(COUNTIF(Students!$A$2:$A$500,B165)=1,COUNTIF($A$2:$A$1000,A165)=1,ISNUMBER(H165),ISNUMBER(FIND("@",I165))),"OK","CHECK"))</f>
        <v/>
      </c>
    </row>
    <row r="166" customFormat="false" ht="15" hidden="false" customHeight="false" outlineLevel="0" collapsed="false">
      <c r="F166" s="7"/>
      <c r="H166" s="9"/>
      <c r="J166" s="8"/>
      <c r="K166" s="8"/>
      <c r="M166" s="9"/>
      <c r="P166" s="8"/>
      <c r="Q166" s="8"/>
      <c r="U166" s="0" t="str">
        <f aca="false">IF(A166="","",IF(AND(COUNTIF(Students!$A$2:$A$500,B166)=1,COUNTIF($A$2:$A$1000,A166)=1,ISNUMBER(H166),ISNUMBER(FIND("@",I166))),"OK","CHECK"))</f>
        <v/>
      </c>
    </row>
    <row r="167" customFormat="false" ht="15" hidden="false" customHeight="false" outlineLevel="0" collapsed="false">
      <c r="F167" s="7"/>
      <c r="H167" s="9"/>
      <c r="J167" s="8"/>
      <c r="K167" s="8"/>
      <c r="M167" s="9"/>
      <c r="P167" s="8"/>
      <c r="Q167" s="8"/>
      <c r="U167" s="0" t="str">
        <f aca="false">IF(A167="","",IF(AND(COUNTIF(Students!$A$2:$A$500,B167)=1,COUNTIF($A$2:$A$1000,A167)=1,ISNUMBER(H167),ISNUMBER(FIND("@",I167))),"OK","CHECK"))</f>
        <v/>
      </c>
    </row>
    <row r="168" customFormat="false" ht="15" hidden="false" customHeight="false" outlineLevel="0" collapsed="false">
      <c r="F168" s="7"/>
      <c r="H168" s="9"/>
      <c r="J168" s="8"/>
      <c r="K168" s="8"/>
      <c r="M168" s="9"/>
      <c r="P168" s="8"/>
      <c r="Q168" s="8"/>
      <c r="U168" s="0" t="str">
        <f aca="false">IF(A168="","",IF(AND(COUNTIF(Students!$A$2:$A$500,B168)=1,COUNTIF($A$2:$A$1000,A168)=1,ISNUMBER(H168),ISNUMBER(FIND("@",I168))),"OK","CHECK"))</f>
        <v/>
      </c>
    </row>
    <row r="169" customFormat="false" ht="15" hidden="false" customHeight="false" outlineLevel="0" collapsed="false">
      <c r="F169" s="7"/>
      <c r="H169" s="9"/>
      <c r="J169" s="8"/>
      <c r="K169" s="8"/>
      <c r="M169" s="9"/>
      <c r="P169" s="8"/>
      <c r="Q169" s="8"/>
      <c r="U169" s="0" t="str">
        <f aca="false">IF(A169="","",IF(AND(COUNTIF(Students!$A$2:$A$500,B169)=1,COUNTIF($A$2:$A$1000,A169)=1,ISNUMBER(H169),ISNUMBER(FIND("@",I169))),"OK","CHECK"))</f>
        <v/>
      </c>
    </row>
    <row r="170" customFormat="false" ht="15" hidden="false" customHeight="false" outlineLevel="0" collapsed="false">
      <c r="F170" s="7"/>
      <c r="H170" s="9"/>
      <c r="J170" s="8"/>
      <c r="K170" s="8"/>
      <c r="M170" s="9"/>
      <c r="P170" s="8"/>
      <c r="Q170" s="8"/>
      <c r="U170" s="0" t="str">
        <f aca="false">IF(A170="","",IF(AND(COUNTIF(Students!$A$2:$A$500,B170)=1,COUNTIF($A$2:$A$1000,A170)=1,ISNUMBER(H170),ISNUMBER(FIND("@",I170))),"OK","CHECK"))</f>
        <v/>
      </c>
    </row>
    <row r="171" customFormat="false" ht="15" hidden="false" customHeight="false" outlineLevel="0" collapsed="false">
      <c r="F171" s="7"/>
      <c r="H171" s="9"/>
      <c r="J171" s="8"/>
      <c r="K171" s="8"/>
      <c r="M171" s="9"/>
      <c r="P171" s="8"/>
      <c r="Q171" s="8"/>
      <c r="U171" s="0" t="str">
        <f aca="false">IF(A171="","",IF(AND(COUNTIF(Students!$A$2:$A$500,B171)=1,COUNTIF($A$2:$A$1000,A171)=1,ISNUMBER(H171),ISNUMBER(FIND("@",I171))),"OK","CHECK"))</f>
        <v/>
      </c>
    </row>
    <row r="172" customFormat="false" ht="15" hidden="false" customHeight="false" outlineLevel="0" collapsed="false">
      <c r="F172" s="7"/>
      <c r="H172" s="9"/>
      <c r="J172" s="8"/>
      <c r="K172" s="8"/>
      <c r="M172" s="9"/>
      <c r="P172" s="8"/>
      <c r="Q172" s="8"/>
      <c r="U172" s="0" t="str">
        <f aca="false">IF(A172="","",IF(AND(COUNTIF(Students!$A$2:$A$500,B172)=1,COUNTIF($A$2:$A$1000,A172)=1,ISNUMBER(H172),ISNUMBER(FIND("@",I172))),"OK","CHECK"))</f>
        <v/>
      </c>
    </row>
    <row r="173" customFormat="false" ht="15" hidden="false" customHeight="false" outlineLevel="0" collapsed="false">
      <c r="F173" s="7"/>
      <c r="H173" s="9"/>
      <c r="J173" s="8"/>
      <c r="K173" s="8"/>
      <c r="M173" s="9"/>
      <c r="P173" s="8"/>
      <c r="Q173" s="8"/>
      <c r="U173" s="0" t="str">
        <f aca="false">IF(A173="","",IF(AND(COUNTIF(Students!$A$2:$A$500,B173)=1,COUNTIF($A$2:$A$1000,A173)=1,ISNUMBER(H173),ISNUMBER(FIND("@",I173))),"OK","CHECK"))</f>
        <v/>
      </c>
    </row>
    <row r="174" customFormat="false" ht="15" hidden="false" customHeight="false" outlineLevel="0" collapsed="false">
      <c r="F174" s="7"/>
      <c r="H174" s="9"/>
      <c r="J174" s="8"/>
      <c r="K174" s="8"/>
      <c r="M174" s="9"/>
      <c r="P174" s="8"/>
      <c r="Q174" s="8"/>
      <c r="U174" s="0" t="str">
        <f aca="false">IF(A174="","",IF(AND(COUNTIF(Students!$A$2:$A$500,B174)=1,COUNTIF($A$2:$A$1000,A174)=1,ISNUMBER(H174),ISNUMBER(FIND("@",I174))),"OK","CHECK"))</f>
        <v/>
      </c>
    </row>
    <row r="175" customFormat="false" ht="15" hidden="false" customHeight="false" outlineLevel="0" collapsed="false">
      <c r="F175" s="7"/>
      <c r="H175" s="9"/>
      <c r="J175" s="8"/>
      <c r="K175" s="8"/>
      <c r="M175" s="9"/>
      <c r="P175" s="8"/>
      <c r="Q175" s="8"/>
      <c r="U175" s="0" t="str">
        <f aca="false">IF(A175="","",IF(AND(COUNTIF(Students!$A$2:$A$500,B175)=1,COUNTIF($A$2:$A$1000,A175)=1,ISNUMBER(H175),ISNUMBER(FIND("@",I175))),"OK","CHECK"))</f>
        <v/>
      </c>
    </row>
    <row r="176" customFormat="false" ht="15" hidden="false" customHeight="false" outlineLevel="0" collapsed="false">
      <c r="F176" s="7"/>
      <c r="H176" s="9"/>
      <c r="J176" s="8"/>
      <c r="K176" s="8"/>
      <c r="M176" s="9"/>
      <c r="P176" s="8"/>
      <c r="Q176" s="8"/>
      <c r="U176" s="0" t="str">
        <f aca="false">IF(A176="","",IF(AND(COUNTIF(Students!$A$2:$A$500,B176)=1,COUNTIF($A$2:$A$1000,A176)=1,ISNUMBER(H176),ISNUMBER(FIND("@",I176))),"OK","CHECK"))</f>
        <v/>
      </c>
    </row>
    <row r="177" customFormat="false" ht="15" hidden="false" customHeight="false" outlineLevel="0" collapsed="false">
      <c r="F177" s="7"/>
      <c r="H177" s="9"/>
      <c r="J177" s="8"/>
      <c r="K177" s="8"/>
      <c r="M177" s="9"/>
      <c r="P177" s="8"/>
      <c r="Q177" s="8"/>
      <c r="U177" s="0" t="str">
        <f aca="false">IF(A177="","",IF(AND(COUNTIF(Students!$A$2:$A$500,B177)=1,COUNTIF($A$2:$A$1000,A177)=1,ISNUMBER(H177),ISNUMBER(FIND("@",I177))),"OK","CHECK"))</f>
        <v/>
      </c>
    </row>
    <row r="178" customFormat="false" ht="15" hidden="false" customHeight="false" outlineLevel="0" collapsed="false">
      <c r="F178" s="7"/>
      <c r="H178" s="9"/>
      <c r="J178" s="8"/>
      <c r="K178" s="8"/>
      <c r="M178" s="9"/>
      <c r="P178" s="8"/>
      <c r="Q178" s="8"/>
      <c r="U178" s="0" t="str">
        <f aca="false">IF(A178="","",IF(AND(COUNTIF(Students!$A$2:$A$500,B178)=1,COUNTIF($A$2:$A$1000,A178)=1,ISNUMBER(H178),ISNUMBER(FIND("@",I178))),"OK","CHECK"))</f>
        <v/>
      </c>
    </row>
    <row r="179" customFormat="false" ht="15" hidden="false" customHeight="false" outlineLevel="0" collapsed="false">
      <c r="F179" s="7"/>
      <c r="H179" s="9"/>
      <c r="J179" s="8"/>
      <c r="K179" s="8"/>
      <c r="M179" s="9"/>
      <c r="P179" s="8"/>
      <c r="Q179" s="8"/>
      <c r="U179" s="0" t="str">
        <f aca="false">IF(A179="","",IF(AND(COUNTIF(Students!$A$2:$A$500,B179)=1,COUNTIF($A$2:$A$1000,A179)=1,ISNUMBER(H179),ISNUMBER(FIND("@",I179))),"OK","CHECK"))</f>
        <v/>
      </c>
    </row>
    <row r="180" customFormat="false" ht="15" hidden="false" customHeight="false" outlineLevel="0" collapsed="false">
      <c r="F180" s="7"/>
      <c r="H180" s="9"/>
      <c r="J180" s="8"/>
      <c r="K180" s="8"/>
      <c r="M180" s="9"/>
      <c r="P180" s="8"/>
      <c r="Q180" s="8"/>
      <c r="U180" s="0" t="str">
        <f aca="false">IF(A180="","",IF(AND(COUNTIF(Students!$A$2:$A$500,B180)=1,COUNTIF($A$2:$A$1000,A180)=1,ISNUMBER(H180),ISNUMBER(FIND("@",I180))),"OK","CHECK"))</f>
        <v/>
      </c>
    </row>
    <row r="181" customFormat="false" ht="15" hidden="false" customHeight="false" outlineLevel="0" collapsed="false">
      <c r="F181" s="7"/>
      <c r="H181" s="9"/>
      <c r="J181" s="8"/>
      <c r="K181" s="8"/>
      <c r="M181" s="9"/>
      <c r="P181" s="8"/>
      <c r="Q181" s="8"/>
      <c r="U181" s="0" t="str">
        <f aca="false">IF(A181="","",IF(AND(COUNTIF(Students!$A$2:$A$500,B181)=1,COUNTIF($A$2:$A$1000,A181)=1,ISNUMBER(H181),ISNUMBER(FIND("@",I181))),"OK","CHECK"))</f>
        <v/>
      </c>
    </row>
    <row r="182" customFormat="false" ht="15" hidden="false" customHeight="false" outlineLevel="0" collapsed="false">
      <c r="F182" s="7"/>
      <c r="H182" s="9"/>
      <c r="J182" s="8"/>
      <c r="K182" s="8"/>
      <c r="M182" s="9"/>
      <c r="P182" s="8"/>
      <c r="Q182" s="8"/>
      <c r="U182" s="0" t="str">
        <f aca="false">IF(A182="","",IF(AND(COUNTIF(Students!$A$2:$A$500,B182)=1,COUNTIF($A$2:$A$1000,A182)=1,ISNUMBER(H182),ISNUMBER(FIND("@",I182))),"OK","CHECK"))</f>
        <v/>
      </c>
    </row>
    <row r="183" customFormat="false" ht="15" hidden="false" customHeight="false" outlineLevel="0" collapsed="false">
      <c r="F183" s="7"/>
      <c r="H183" s="9"/>
      <c r="J183" s="8"/>
      <c r="K183" s="8"/>
      <c r="M183" s="9"/>
      <c r="P183" s="8"/>
      <c r="Q183" s="8"/>
      <c r="U183" s="0" t="str">
        <f aca="false">IF(A183="","",IF(AND(COUNTIF(Students!$A$2:$A$500,B183)=1,COUNTIF($A$2:$A$1000,A183)=1,ISNUMBER(H183),ISNUMBER(FIND("@",I183))),"OK","CHECK"))</f>
        <v/>
      </c>
    </row>
    <row r="184" customFormat="false" ht="15" hidden="false" customHeight="false" outlineLevel="0" collapsed="false">
      <c r="F184" s="7"/>
      <c r="H184" s="9"/>
      <c r="J184" s="8"/>
      <c r="K184" s="8"/>
      <c r="M184" s="9"/>
      <c r="P184" s="8"/>
      <c r="Q184" s="8"/>
      <c r="U184" s="0" t="str">
        <f aca="false">IF(A184="","",IF(AND(COUNTIF(Students!$A$2:$A$500,B184)=1,COUNTIF($A$2:$A$1000,A184)=1,ISNUMBER(H184),ISNUMBER(FIND("@",I184))),"OK","CHECK"))</f>
        <v/>
      </c>
    </row>
    <row r="185" customFormat="false" ht="15" hidden="false" customHeight="false" outlineLevel="0" collapsed="false">
      <c r="F185" s="7"/>
      <c r="H185" s="9"/>
      <c r="J185" s="8"/>
      <c r="K185" s="8"/>
      <c r="M185" s="9"/>
      <c r="P185" s="8"/>
      <c r="Q185" s="8"/>
      <c r="U185" s="0" t="str">
        <f aca="false">IF(A185="","",IF(AND(COUNTIF(Students!$A$2:$A$500,B185)=1,COUNTIF($A$2:$A$1000,A185)=1,ISNUMBER(H185),ISNUMBER(FIND("@",I185))),"OK","CHECK"))</f>
        <v/>
      </c>
    </row>
    <row r="186" customFormat="false" ht="15" hidden="false" customHeight="false" outlineLevel="0" collapsed="false">
      <c r="F186" s="7"/>
      <c r="H186" s="9"/>
      <c r="J186" s="8"/>
      <c r="K186" s="8"/>
      <c r="M186" s="9"/>
      <c r="P186" s="8"/>
      <c r="Q186" s="8"/>
      <c r="U186" s="0" t="str">
        <f aca="false">IF(A186="","",IF(AND(COUNTIF(Students!$A$2:$A$500,B186)=1,COUNTIF($A$2:$A$1000,A186)=1,ISNUMBER(H186),ISNUMBER(FIND("@",I186))),"OK","CHECK"))</f>
        <v/>
      </c>
    </row>
    <row r="187" customFormat="false" ht="15" hidden="false" customHeight="false" outlineLevel="0" collapsed="false">
      <c r="F187" s="7"/>
      <c r="H187" s="9"/>
      <c r="J187" s="8"/>
      <c r="K187" s="8"/>
      <c r="M187" s="9"/>
      <c r="P187" s="8"/>
      <c r="Q187" s="8"/>
      <c r="U187" s="0" t="str">
        <f aca="false">IF(A187="","",IF(AND(COUNTIF(Students!$A$2:$A$500,B187)=1,COUNTIF($A$2:$A$1000,A187)=1,ISNUMBER(H187),ISNUMBER(FIND("@",I187))),"OK","CHECK"))</f>
        <v/>
      </c>
    </row>
    <row r="188" customFormat="false" ht="15" hidden="false" customHeight="false" outlineLevel="0" collapsed="false">
      <c r="F188" s="7"/>
      <c r="H188" s="9"/>
      <c r="J188" s="8"/>
      <c r="K188" s="8"/>
      <c r="M188" s="9"/>
      <c r="P188" s="8"/>
      <c r="Q188" s="8"/>
      <c r="U188" s="0" t="str">
        <f aca="false">IF(A188="","",IF(AND(COUNTIF(Students!$A$2:$A$500,B188)=1,COUNTIF($A$2:$A$1000,A188)=1,ISNUMBER(H188),ISNUMBER(FIND("@",I188))),"OK","CHECK"))</f>
        <v/>
      </c>
    </row>
    <row r="189" customFormat="false" ht="15" hidden="false" customHeight="false" outlineLevel="0" collapsed="false">
      <c r="F189" s="7"/>
      <c r="H189" s="9"/>
      <c r="J189" s="8"/>
      <c r="K189" s="8"/>
      <c r="M189" s="9"/>
      <c r="P189" s="8"/>
      <c r="Q189" s="8"/>
      <c r="U189" s="0" t="str">
        <f aca="false">IF(A189="","",IF(AND(COUNTIF(Students!$A$2:$A$500,B189)=1,COUNTIF($A$2:$A$1000,A189)=1,ISNUMBER(H189),ISNUMBER(FIND("@",I189))),"OK","CHECK"))</f>
        <v/>
      </c>
    </row>
    <row r="190" customFormat="false" ht="15" hidden="false" customHeight="false" outlineLevel="0" collapsed="false">
      <c r="F190" s="7"/>
      <c r="H190" s="9"/>
      <c r="J190" s="8"/>
      <c r="K190" s="8"/>
      <c r="M190" s="9"/>
      <c r="P190" s="8"/>
      <c r="Q190" s="8"/>
      <c r="U190" s="0" t="str">
        <f aca="false">IF(A190="","",IF(AND(COUNTIF(Students!$A$2:$A$500,B190)=1,COUNTIF($A$2:$A$1000,A190)=1,ISNUMBER(H190),ISNUMBER(FIND("@",I190))),"OK","CHECK"))</f>
        <v/>
      </c>
    </row>
    <row r="191" customFormat="false" ht="15" hidden="false" customHeight="false" outlineLevel="0" collapsed="false">
      <c r="F191" s="7"/>
      <c r="H191" s="9"/>
      <c r="J191" s="8"/>
      <c r="K191" s="8"/>
      <c r="M191" s="9"/>
      <c r="P191" s="8"/>
      <c r="Q191" s="8"/>
      <c r="U191" s="0" t="str">
        <f aca="false">IF(A191="","",IF(AND(COUNTIF(Students!$A$2:$A$500,B191)=1,COUNTIF($A$2:$A$1000,A191)=1,ISNUMBER(H191),ISNUMBER(FIND("@",I191))),"OK","CHECK"))</f>
        <v/>
      </c>
    </row>
    <row r="192" customFormat="false" ht="15" hidden="false" customHeight="false" outlineLevel="0" collapsed="false">
      <c r="F192" s="7"/>
      <c r="H192" s="9"/>
      <c r="J192" s="8"/>
      <c r="K192" s="8"/>
      <c r="M192" s="9"/>
      <c r="P192" s="8"/>
      <c r="Q192" s="8"/>
      <c r="U192" s="0" t="str">
        <f aca="false">IF(A192="","",IF(AND(COUNTIF(Students!$A$2:$A$500,B192)=1,COUNTIF($A$2:$A$1000,A192)=1,ISNUMBER(H192),ISNUMBER(FIND("@",I192))),"OK","CHECK"))</f>
        <v/>
      </c>
    </row>
    <row r="193" customFormat="false" ht="15" hidden="false" customHeight="false" outlineLevel="0" collapsed="false">
      <c r="F193" s="7"/>
      <c r="H193" s="9"/>
      <c r="J193" s="8"/>
      <c r="K193" s="8"/>
      <c r="M193" s="9"/>
      <c r="P193" s="8"/>
      <c r="Q193" s="8"/>
      <c r="U193" s="0" t="str">
        <f aca="false">IF(A193="","",IF(AND(COUNTIF(Students!$A$2:$A$500,B193)=1,COUNTIF($A$2:$A$1000,A193)=1,ISNUMBER(H193),ISNUMBER(FIND("@",I193))),"OK","CHECK"))</f>
        <v/>
      </c>
    </row>
    <row r="194" customFormat="false" ht="15" hidden="false" customHeight="false" outlineLevel="0" collapsed="false">
      <c r="F194" s="7"/>
      <c r="H194" s="9"/>
      <c r="J194" s="8"/>
      <c r="K194" s="8"/>
      <c r="M194" s="9"/>
      <c r="P194" s="8"/>
      <c r="Q194" s="8"/>
      <c r="U194" s="0" t="str">
        <f aca="false">IF(A194="","",IF(AND(COUNTIF(Students!$A$2:$A$500,B194)=1,COUNTIF($A$2:$A$1000,A194)=1,ISNUMBER(H194),ISNUMBER(FIND("@",I194))),"OK","CHECK"))</f>
        <v/>
      </c>
    </row>
    <row r="195" customFormat="false" ht="15" hidden="false" customHeight="false" outlineLevel="0" collapsed="false">
      <c r="F195" s="7"/>
      <c r="H195" s="9"/>
      <c r="J195" s="8"/>
      <c r="K195" s="8"/>
      <c r="M195" s="9"/>
      <c r="P195" s="8"/>
      <c r="Q195" s="8"/>
      <c r="U195" s="0" t="str">
        <f aca="false">IF(A195="","",IF(AND(COUNTIF(Students!$A$2:$A$500,B195)=1,COUNTIF($A$2:$A$1000,A195)=1,ISNUMBER(H195),ISNUMBER(FIND("@",I195))),"OK","CHECK"))</f>
        <v/>
      </c>
    </row>
    <row r="196" customFormat="false" ht="15" hidden="false" customHeight="false" outlineLevel="0" collapsed="false">
      <c r="F196" s="7"/>
      <c r="H196" s="9"/>
      <c r="J196" s="8"/>
      <c r="K196" s="8"/>
      <c r="M196" s="9"/>
      <c r="P196" s="8"/>
      <c r="Q196" s="8"/>
      <c r="U196" s="0" t="str">
        <f aca="false">IF(A196="","",IF(AND(COUNTIF(Students!$A$2:$A$500,B196)=1,COUNTIF($A$2:$A$1000,A196)=1,ISNUMBER(H196),ISNUMBER(FIND("@",I196))),"OK","CHECK"))</f>
        <v/>
      </c>
    </row>
    <row r="197" customFormat="false" ht="15" hidden="false" customHeight="false" outlineLevel="0" collapsed="false">
      <c r="F197" s="7"/>
      <c r="H197" s="9"/>
      <c r="J197" s="8"/>
      <c r="K197" s="8"/>
      <c r="M197" s="9"/>
      <c r="P197" s="8"/>
      <c r="Q197" s="8"/>
      <c r="U197" s="0" t="str">
        <f aca="false">IF(A197="","",IF(AND(COUNTIF(Students!$A$2:$A$500,B197)=1,COUNTIF($A$2:$A$1000,A197)=1,ISNUMBER(H197),ISNUMBER(FIND("@",I197))),"OK","CHECK"))</f>
        <v/>
      </c>
    </row>
    <row r="198" customFormat="false" ht="15" hidden="false" customHeight="false" outlineLevel="0" collapsed="false">
      <c r="F198" s="7"/>
      <c r="H198" s="9"/>
      <c r="J198" s="8"/>
      <c r="K198" s="8"/>
      <c r="M198" s="9"/>
      <c r="P198" s="8"/>
      <c r="Q198" s="8"/>
      <c r="U198" s="0" t="str">
        <f aca="false">IF(A198="","",IF(AND(COUNTIF(Students!$A$2:$A$500,B198)=1,COUNTIF($A$2:$A$1000,A198)=1,ISNUMBER(H198),ISNUMBER(FIND("@",I198))),"OK","CHECK"))</f>
        <v/>
      </c>
    </row>
    <row r="199" customFormat="false" ht="15" hidden="false" customHeight="false" outlineLevel="0" collapsed="false">
      <c r="F199" s="7"/>
      <c r="H199" s="9"/>
      <c r="J199" s="8"/>
      <c r="K199" s="8"/>
      <c r="M199" s="9"/>
      <c r="P199" s="8"/>
      <c r="Q199" s="8"/>
      <c r="U199" s="0" t="str">
        <f aca="false">IF(A199="","",IF(AND(COUNTIF(Students!$A$2:$A$500,B199)=1,COUNTIF($A$2:$A$1000,A199)=1,ISNUMBER(H199),ISNUMBER(FIND("@",I199))),"OK","CHECK"))</f>
        <v/>
      </c>
    </row>
    <row r="200" customFormat="false" ht="15" hidden="false" customHeight="false" outlineLevel="0" collapsed="false">
      <c r="F200" s="7"/>
      <c r="H200" s="9"/>
      <c r="J200" s="8"/>
      <c r="K200" s="8"/>
      <c r="M200" s="9"/>
      <c r="P200" s="8"/>
      <c r="Q200" s="8"/>
      <c r="U200" s="0" t="str">
        <f aca="false">IF(A200="","",IF(AND(COUNTIF(Students!$A$2:$A$500,B200)=1,COUNTIF($A$2:$A$1000,A200)=1,ISNUMBER(H200),ISNUMBER(FIND("@",I200))),"OK","CHECK"))</f>
        <v/>
      </c>
    </row>
    <row r="201" customFormat="false" ht="15" hidden="false" customHeight="false" outlineLevel="0" collapsed="false">
      <c r="F201" s="7"/>
      <c r="H201" s="9"/>
      <c r="J201" s="8"/>
      <c r="K201" s="8"/>
      <c r="M201" s="9"/>
      <c r="P201" s="8"/>
      <c r="Q201" s="8"/>
      <c r="U201" s="0" t="str">
        <f aca="false">IF(A201="","",IF(AND(COUNTIF(Students!$A$2:$A$500,B201)=1,COUNTIF($A$2:$A$1000,A201)=1,ISNUMBER(H201),ISNUMBER(FIND("@",I201))),"OK","CHECK"))</f>
        <v/>
      </c>
    </row>
    <row r="202" customFormat="false" ht="15" hidden="false" customHeight="false" outlineLevel="0" collapsed="false">
      <c r="F202" s="7"/>
      <c r="H202" s="9"/>
      <c r="J202" s="8"/>
      <c r="K202" s="8"/>
      <c r="M202" s="9"/>
      <c r="P202" s="8"/>
      <c r="Q202" s="8"/>
      <c r="U202" s="0" t="str">
        <f aca="false">IF(A202="","",IF(AND(COUNTIF(Students!$A$2:$A$500,B202)=1,COUNTIF($A$2:$A$1000,A202)=1,ISNUMBER(H202),ISNUMBER(FIND("@",I202))),"OK","CHECK"))</f>
        <v/>
      </c>
    </row>
    <row r="203" customFormat="false" ht="15" hidden="false" customHeight="false" outlineLevel="0" collapsed="false">
      <c r="F203" s="7"/>
      <c r="H203" s="9"/>
      <c r="J203" s="8"/>
      <c r="K203" s="8"/>
      <c r="M203" s="9"/>
      <c r="P203" s="8"/>
      <c r="Q203" s="8"/>
      <c r="U203" s="0" t="str">
        <f aca="false">IF(A203="","",IF(AND(COUNTIF(Students!$A$2:$A$500,B203)=1,COUNTIF($A$2:$A$1000,A203)=1,ISNUMBER(H203),ISNUMBER(FIND("@",I203))),"OK","CHECK"))</f>
        <v/>
      </c>
    </row>
    <row r="204" customFormat="false" ht="15" hidden="false" customHeight="false" outlineLevel="0" collapsed="false">
      <c r="F204" s="7"/>
      <c r="H204" s="9"/>
      <c r="J204" s="8"/>
      <c r="K204" s="8"/>
      <c r="M204" s="9"/>
      <c r="P204" s="8"/>
      <c r="Q204" s="8"/>
      <c r="U204" s="0" t="str">
        <f aca="false">IF(A204="","",IF(AND(COUNTIF(Students!$A$2:$A$500,B204)=1,COUNTIF($A$2:$A$1000,A204)=1,ISNUMBER(H204),ISNUMBER(FIND("@",I204))),"OK","CHECK"))</f>
        <v/>
      </c>
    </row>
    <row r="205" customFormat="false" ht="15" hidden="false" customHeight="false" outlineLevel="0" collapsed="false">
      <c r="F205" s="7"/>
      <c r="H205" s="9"/>
      <c r="J205" s="8"/>
      <c r="K205" s="8"/>
      <c r="M205" s="9"/>
      <c r="P205" s="8"/>
      <c r="Q205" s="8"/>
      <c r="U205" s="0" t="str">
        <f aca="false">IF(A205="","",IF(AND(COUNTIF(Students!$A$2:$A$500,B205)=1,COUNTIF($A$2:$A$1000,A205)=1,ISNUMBER(H205),ISNUMBER(FIND("@",I205))),"OK","CHECK"))</f>
        <v/>
      </c>
    </row>
    <row r="206" customFormat="false" ht="15" hidden="false" customHeight="false" outlineLevel="0" collapsed="false">
      <c r="F206" s="7"/>
      <c r="H206" s="9"/>
      <c r="J206" s="8"/>
      <c r="K206" s="8"/>
      <c r="M206" s="9"/>
      <c r="P206" s="8"/>
      <c r="Q206" s="8"/>
      <c r="U206" s="0" t="str">
        <f aca="false">IF(A206="","",IF(AND(COUNTIF(Students!$A$2:$A$500,B206)=1,COUNTIF($A$2:$A$1000,A206)=1,ISNUMBER(H206),ISNUMBER(FIND("@",I206))),"OK","CHECK"))</f>
        <v/>
      </c>
    </row>
    <row r="207" customFormat="false" ht="15" hidden="false" customHeight="false" outlineLevel="0" collapsed="false">
      <c r="F207" s="7"/>
      <c r="H207" s="9"/>
      <c r="J207" s="8"/>
      <c r="K207" s="8"/>
      <c r="M207" s="9"/>
      <c r="P207" s="8"/>
      <c r="Q207" s="8"/>
      <c r="U207" s="0" t="str">
        <f aca="false">IF(A207="","",IF(AND(COUNTIF(Students!$A$2:$A$500,B207)=1,COUNTIF($A$2:$A$1000,A207)=1,ISNUMBER(H207),ISNUMBER(FIND("@",I207))),"OK","CHECK"))</f>
        <v/>
      </c>
    </row>
    <row r="208" customFormat="false" ht="15" hidden="false" customHeight="false" outlineLevel="0" collapsed="false">
      <c r="F208" s="7"/>
      <c r="H208" s="9"/>
      <c r="J208" s="8"/>
      <c r="K208" s="8"/>
      <c r="M208" s="9"/>
      <c r="P208" s="8"/>
      <c r="Q208" s="8"/>
      <c r="U208" s="0" t="str">
        <f aca="false">IF(A208="","",IF(AND(COUNTIF(Students!$A$2:$A$500,B208)=1,COUNTIF($A$2:$A$1000,A208)=1,ISNUMBER(H208),ISNUMBER(FIND("@",I208))),"OK","CHECK"))</f>
        <v/>
      </c>
    </row>
    <row r="209" customFormat="false" ht="15" hidden="false" customHeight="false" outlineLevel="0" collapsed="false">
      <c r="F209" s="7"/>
      <c r="H209" s="9"/>
      <c r="J209" s="8"/>
      <c r="K209" s="8"/>
      <c r="M209" s="9"/>
      <c r="P209" s="8"/>
      <c r="Q209" s="8"/>
      <c r="U209" s="0" t="str">
        <f aca="false">IF(A209="","",IF(AND(COUNTIF(Students!$A$2:$A$500,B209)=1,COUNTIF($A$2:$A$1000,A209)=1,ISNUMBER(H209),ISNUMBER(FIND("@",I209))),"OK","CHECK"))</f>
        <v/>
      </c>
    </row>
    <row r="210" customFormat="false" ht="15" hidden="false" customHeight="false" outlineLevel="0" collapsed="false">
      <c r="F210" s="7"/>
      <c r="H210" s="9"/>
      <c r="J210" s="8"/>
      <c r="K210" s="8"/>
      <c r="M210" s="9"/>
      <c r="P210" s="8"/>
      <c r="Q210" s="8"/>
      <c r="U210" s="0" t="str">
        <f aca="false">IF(A210="","",IF(AND(COUNTIF(Students!$A$2:$A$500,B210)=1,COUNTIF($A$2:$A$1000,A210)=1,ISNUMBER(H210),ISNUMBER(FIND("@",I210))),"OK","CHECK"))</f>
        <v/>
      </c>
    </row>
    <row r="211" customFormat="false" ht="15" hidden="false" customHeight="false" outlineLevel="0" collapsed="false">
      <c r="F211" s="7"/>
      <c r="H211" s="9"/>
      <c r="J211" s="8"/>
      <c r="K211" s="8"/>
      <c r="M211" s="9"/>
      <c r="P211" s="8"/>
      <c r="Q211" s="8"/>
      <c r="U211" s="0" t="str">
        <f aca="false">IF(A211="","",IF(AND(COUNTIF(Students!$A$2:$A$500,B211)=1,COUNTIF($A$2:$A$1000,A211)=1,ISNUMBER(H211),ISNUMBER(FIND("@",I211))),"OK","CHECK"))</f>
        <v/>
      </c>
    </row>
    <row r="212" customFormat="false" ht="15" hidden="false" customHeight="false" outlineLevel="0" collapsed="false">
      <c r="F212" s="7"/>
      <c r="H212" s="9"/>
      <c r="J212" s="8"/>
      <c r="K212" s="8"/>
      <c r="M212" s="9"/>
      <c r="P212" s="8"/>
      <c r="Q212" s="8"/>
      <c r="U212" s="0" t="str">
        <f aca="false">IF(A212="","",IF(AND(COUNTIF(Students!$A$2:$A$500,B212)=1,COUNTIF($A$2:$A$1000,A212)=1,ISNUMBER(H212),ISNUMBER(FIND("@",I212))),"OK","CHECK"))</f>
        <v/>
      </c>
    </row>
    <row r="213" customFormat="false" ht="15" hidden="false" customHeight="false" outlineLevel="0" collapsed="false">
      <c r="F213" s="7"/>
      <c r="H213" s="9"/>
      <c r="J213" s="8"/>
      <c r="K213" s="8"/>
      <c r="M213" s="9"/>
      <c r="P213" s="8"/>
      <c r="Q213" s="8"/>
      <c r="U213" s="0" t="str">
        <f aca="false">IF(A213="","",IF(AND(COUNTIF(Students!$A$2:$A$500,B213)=1,COUNTIF($A$2:$A$1000,A213)=1,ISNUMBER(H213),ISNUMBER(FIND("@",I213))),"OK","CHECK"))</f>
        <v/>
      </c>
    </row>
    <row r="214" customFormat="false" ht="15" hidden="false" customHeight="false" outlineLevel="0" collapsed="false">
      <c r="F214" s="7"/>
      <c r="H214" s="9"/>
      <c r="J214" s="8"/>
      <c r="K214" s="8"/>
      <c r="M214" s="9"/>
      <c r="P214" s="8"/>
      <c r="Q214" s="8"/>
      <c r="U214" s="0" t="str">
        <f aca="false">IF(A214="","",IF(AND(COUNTIF(Students!$A$2:$A$500,B214)=1,COUNTIF($A$2:$A$1000,A214)=1,ISNUMBER(H214),ISNUMBER(FIND("@",I214))),"OK","CHECK"))</f>
        <v/>
      </c>
    </row>
    <row r="215" customFormat="false" ht="15" hidden="false" customHeight="false" outlineLevel="0" collapsed="false">
      <c r="F215" s="7"/>
      <c r="H215" s="9"/>
      <c r="J215" s="8"/>
      <c r="K215" s="8"/>
      <c r="M215" s="9"/>
      <c r="P215" s="8"/>
      <c r="Q215" s="8"/>
      <c r="U215" s="0" t="str">
        <f aca="false">IF(A215="","",IF(AND(COUNTIF(Students!$A$2:$A$500,B215)=1,COUNTIF($A$2:$A$1000,A215)=1,ISNUMBER(H215),ISNUMBER(FIND("@",I215))),"OK","CHECK"))</f>
        <v/>
      </c>
    </row>
    <row r="216" customFormat="false" ht="15" hidden="false" customHeight="false" outlineLevel="0" collapsed="false">
      <c r="F216" s="7"/>
      <c r="H216" s="9"/>
      <c r="J216" s="8"/>
      <c r="K216" s="8"/>
      <c r="M216" s="9"/>
      <c r="P216" s="8"/>
      <c r="Q216" s="8"/>
      <c r="U216" s="0" t="str">
        <f aca="false">IF(A216="","",IF(AND(COUNTIF(Students!$A$2:$A$500,B216)=1,COUNTIF($A$2:$A$1000,A216)=1,ISNUMBER(H216),ISNUMBER(FIND("@",I216))),"OK","CHECK"))</f>
        <v/>
      </c>
    </row>
    <row r="217" customFormat="false" ht="15" hidden="false" customHeight="false" outlineLevel="0" collapsed="false">
      <c r="F217" s="7"/>
      <c r="H217" s="9"/>
      <c r="J217" s="8"/>
      <c r="K217" s="8"/>
      <c r="M217" s="9"/>
      <c r="P217" s="8"/>
      <c r="Q217" s="8"/>
      <c r="U217" s="0" t="str">
        <f aca="false">IF(A217="","",IF(AND(COUNTIF(Students!$A$2:$A$500,B217)=1,COUNTIF($A$2:$A$1000,A217)=1,ISNUMBER(H217),ISNUMBER(FIND("@",I217))),"OK","CHECK"))</f>
        <v/>
      </c>
    </row>
    <row r="218" customFormat="false" ht="15" hidden="false" customHeight="false" outlineLevel="0" collapsed="false">
      <c r="F218" s="7"/>
      <c r="H218" s="9"/>
      <c r="J218" s="8"/>
      <c r="K218" s="8"/>
      <c r="M218" s="9"/>
      <c r="P218" s="8"/>
      <c r="Q218" s="8"/>
      <c r="U218" s="0" t="str">
        <f aca="false">IF(A218="","",IF(AND(COUNTIF(Students!$A$2:$A$500,B218)=1,COUNTIF($A$2:$A$1000,A218)=1,ISNUMBER(H218),ISNUMBER(FIND("@",I218))),"OK","CHECK"))</f>
        <v/>
      </c>
    </row>
    <row r="219" customFormat="false" ht="15" hidden="false" customHeight="false" outlineLevel="0" collapsed="false">
      <c r="F219" s="7"/>
      <c r="H219" s="9"/>
      <c r="J219" s="8"/>
      <c r="K219" s="8"/>
      <c r="M219" s="9"/>
      <c r="P219" s="8"/>
      <c r="Q219" s="8"/>
      <c r="U219" s="0" t="str">
        <f aca="false">IF(A219="","",IF(AND(COUNTIF(Students!$A$2:$A$500,B219)=1,COUNTIF($A$2:$A$1000,A219)=1,ISNUMBER(H219),ISNUMBER(FIND("@",I219))),"OK","CHECK"))</f>
        <v/>
      </c>
    </row>
    <row r="220" customFormat="false" ht="15" hidden="false" customHeight="false" outlineLevel="0" collapsed="false">
      <c r="F220" s="7"/>
      <c r="H220" s="9"/>
      <c r="J220" s="8"/>
      <c r="K220" s="8"/>
      <c r="M220" s="9"/>
      <c r="P220" s="8"/>
      <c r="Q220" s="8"/>
      <c r="U220" s="0" t="str">
        <f aca="false">IF(A220="","",IF(AND(COUNTIF(Students!$A$2:$A$500,B220)=1,COUNTIF($A$2:$A$1000,A220)=1,ISNUMBER(H220),ISNUMBER(FIND("@",I220))),"OK","CHECK"))</f>
        <v/>
      </c>
    </row>
    <row r="221" customFormat="false" ht="15" hidden="false" customHeight="false" outlineLevel="0" collapsed="false">
      <c r="F221" s="7"/>
      <c r="H221" s="9"/>
      <c r="J221" s="8"/>
      <c r="K221" s="8"/>
      <c r="M221" s="9"/>
      <c r="P221" s="8"/>
      <c r="Q221" s="8"/>
      <c r="U221" s="0" t="str">
        <f aca="false">IF(A221="","",IF(AND(COUNTIF(Students!$A$2:$A$500,B221)=1,COUNTIF($A$2:$A$1000,A221)=1,ISNUMBER(H221),ISNUMBER(FIND("@",I221))),"OK","CHECK"))</f>
        <v/>
      </c>
    </row>
    <row r="222" customFormat="false" ht="15" hidden="false" customHeight="false" outlineLevel="0" collapsed="false">
      <c r="F222" s="7"/>
      <c r="H222" s="9"/>
      <c r="J222" s="8"/>
      <c r="K222" s="8"/>
      <c r="M222" s="9"/>
      <c r="P222" s="8"/>
      <c r="Q222" s="8"/>
      <c r="U222" s="0" t="str">
        <f aca="false">IF(A222="","",IF(AND(COUNTIF(Students!$A$2:$A$500,B222)=1,COUNTIF($A$2:$A$1000,A222)=1,ISNUMBER(H222),ISNUMBER(FIND("@",I222))),"OK","CHECK"))</f>
        <v/>
      </c>
    </row>
    <row r="223" customFormat="false" ht="15" hidden="false" customHeight="false" outlineLevel="0" collapsed="false">
      <c r="F223" s="7"/>
      <c r="H223" s="9"/>
      <c r="J223" s="8"/>
      <c r="K223" s="8"/>
      <c r="M223" s="9"/>
      <c r="P223" s="8"/>
      <c r="Q223" s="8"/>
      <c r="U223" s="0" t="str">
        <f aca="false">IF(A223="","",IF(AND(COUNTIF(Students!$A$2:$A$500,B223)=1,COUNTIF($A$2:$A$1000,A223)=1,ISNUMBER(H223),ISNUMBER(FIND("@",I223))),"OK","CHECK"))</f>
        <v/>
      </c>
    </row>
    <row r="224" customFormat="false" ht="15" hidden="false" customHeight="false" outlineLevel="0" collapsed="false">
      <c r="F224" s="7"/>
      <c r="H224" s="9"/>
      <c r="J224" s="8"/>
      <c r="K224" s="8"/>
      <c r="M224" s="9"/>
      <c r="P224" s="8"/>
      <c r="Q224" s="8"/>
      <c r="U224" s="0" t="str">
        <f aca="false">IF(A224="","",IF(AND(COUNTIF(Students!$A$2:$A$500,B224)=1,COUNTIF($A$2:$A$1000,A224)=1,ISNUMBER(H224),ISNUMBER(FIND("@",I224))),"OK","CHECK"))</f>
        <v/>
      </c>
    </row>
    <row r="225" customFormat="false" ht="15" hidden="false" customHeight="false" outlineLevel="0" collapsed="false">
      <c r="F225" s="7"/>
      <c r="H225" s="9"/>
      <c r="J225" s="8"/>
      <c r="K225" s="8"/>
      <c r="M225" s="9"/>
      <c r="P225" s="8"/>
      <c r="Q225" s="8"/>
      <c r="U225" s="0" t="str">
        <f aca="false">IF(A225="","",IF(AND(COUNTIF(Students!$A$2:$A$500,B225)=1,COUNTIF($A$2:$A$1000,A225)=1,ISNUMBER(H225),ISNUMBER(FIND("@",I225))),"OK","CHECK"))</f>
        <v/>
      </c>
    </row>
    <row r="226" customFormat="false" ht="15" hidden="false" customHeight="false" outlineLevel="0" collapsed="false">
      <c r="F226" s="7"/>
      <c r="H226" s="9"/>
      <c r="J226" s="8"/>
      <c r="K226" s="8"/>
      <c r="M226" s="9"/>
      <c r="P226" s="8"/>
      <c r="Q226" s="8"/>
      <c r="U226" s="0" t="str">
        <f aca="false">IF(A226="","",IF(AND(COUNTIF(Students!$A$2:$A$500,B226)=1,COUNTIF($A$2:$A$1000,A226)=1,ISNUMBER(H226),ISNUMBER(FIND("@",I226))),"OK","CHECK"))</f>
        <v/>
      </c>
    </row>
    <row r="227" customFormat="false" ht="15" hidden="false" customHeight="false" outlineLevel="0" collapsed="false">
      <c r="F227" s="7"/>
      <c r="H227" s="9"/>
      <c r="J227" s="8"/>
      <c r="K227" s="8"/>
      <c r="M227" s="9"/>
      <c r="P227" s="8"/>
      <c r="Q227" s="8"/>
      <c r="U227" s="0" t="str">
        <f aca="false">IF(A227="","",IF(AND(COUNTIF(Students!$A$2:$A$500,B227)=1,COUNTIF($A$2:$A$1000,A227)=1,ISNUMBER(H227),ISNUMBER(FIND("@",I227))),"OK","CHECK"))</f>
        <v/>
      </c>
    </row>
    <row r="228" customFormat="false" ht="15" hidden="false" customHeight="false" outlineLevel="0" collapsed="false">
      <c r="F228" s="7"/>
      <c r="H228" s="9"/>
      <c r="J228" s="8"/>
      <c r="K228" s="8"/>
      <c r="M228" s="9"/>
      <c r="P228" s="8"/>
      <c r="Q228" s="8"/>
      <c r="U228" s="0" t="str">
        <f aca="false">IF(A228="","",IF(AND(COUNTIF(Students!$A$2:$A$500,B228)=1,COUNTIF($A$2:$A$1000,A228)=1,ISNUMBER(H228),ISNUMBER(FIND("@",I228))),"OK","CHECK"))</f>
        <v/>
      </c>
    </row>
    <row r="229" customFormat="false" ht="15" hidden="false" customHeight="false" outlineLevel="0" collapsed="false">
      <c r="F229" s="7"/>
      <c r="H229" s="9"/>
      <c r="J229" s="8"/>
      <c r="K229" s="8"/>
      <c r="M229" s="9"/>
      <c r="P229" s="8"/>
      <c r="Q229" s="8"/>
      <c r="U229" s="0" t="str">
        <f aca="false">IF(A229="","",IF(AND(COUNTIF(Students!$A$2:$A$500,B229)=1,COUNTIF($A$2:$A$1000,A229)=1,ISNUMBER(H229),ISNUMBER(FIND("@",I229))),"OK","CHECK"))</f>
        <v/>
      </c>
    </row>
    <row r="230" customFormat="false" ht="15" hidden="false" customHeight="false" outlineLevel="0" collapsed="false">
      <c r="F230" s="7"/>
      <c r="H230" s="9"/>
      <c r="J230" s="8"/>
      <c r="K230" s="8"/>
      <c r="M230" s="9"/>
      <c r="P230" s="8"/>
      <c r="Q230" s="8"/>
      <c r="U230" s="0" t="str">
        <f aca="false">IF(A230="","",IF(AND(COUNTIF(Students!$A$2:$A$500,B230)=1,COUNTIF($A$2:$A$1000,A230)=1,ISNUMBER(H230),ISNUMBER(FIND("@",I230))),"OK","CHECK"))</f>
        <v/>
      </c>
    </row>
    <row r="231" customFormat="false" ht="15" hidden="false" customHeight="false" outlineLevel="0" collapsed="false">
      <c r="F231" s="7"/>
      <c r="H231" s="9"/>
      <c r="J231" s="8"/>
      <c r="K231" s="8"/>
      <c r="M231" s="9"/>
      <c r="P231" s="8"/>
      <c r="Q231" s="8"/>
      <c r="U231" s="0" t="str">
        <f aca="false">IF(A231="","",IF(AND(COUNTIF(Students!$A$2:$A$500,B231)=1,COUNTIF($A$2:$A$1000,A231)=1,ISNUMBER(H231),ISNUMBER(FIND("@",I231))),"OK","CHECK"))</f>
        <v/>
      </c>
    </row>
    <row r="232" customFormat="false" ht="15" hidden="false" customHeight="false" outlineLevel="0" collapsed="false">
      <c r="F232" s="7"/>
      <c r="H232" s="9"/>
      <c r="J232" s="8"/>
      <c r="K232" s="8"/>
      <c r="M232" s="9"/>
      <c r="P232" s="8"/>
      <c r="Q232" s="8"/>
      <c r="U232" s="0" t="str">
        <f aca="false">IF(A232="","",IF(AND(COUNTIF(Students!$A$2:$A$500,B232)=1,COUNTIF($A$2:$A$1000,A232)=1,ISNUMBER(H232),ISNUMBER(FIND("@",I232))),"OK","CHECK"))</f>
        <v/>
      </c>
    </row>
    <row r="233" customFormat="false" ht="15" hidden="false" customHeight="false" outlineLevel="0" collapsed="false">
      <c r="F233" s="7"/>
      <c r="H233" s="9"/>
      <c r="J233" s="8"/>
      <c r="K233" s="8"/>
      <c r="M233" s="9"/>
      <c r="P233" s="8"/>
      <c r="Q233" s="8"/>
      <c r="U233" s="0" t="str">
        <f aca="false">IF(A233="","",IF(AND(COUNTIF(Students!$A$2:$A$500,B233)=1,COUNTIF($A$2:$A$1000,A233)=1,ISNUMBER(H233),ISNUMBER(FIND("@",I233))),"OK","CHECK"))</f>
        <v/>
      </c>
    </row>
    <row r="234" customFormat="false" ht="15" hidden="false" customHeight="false" outlineLevel="0" collapsed="false">
      <c r="F234" s="7"/>
      <c r="H234" s="9"/>
      <c r="J234" s="8"/>
      <c r="K234" s="8"/>
      <c r="M234" s="9"/>
      <c r="P234" s="8"/>
      <c r="Q234" s="8"/>
      <c r="U234" s="0" t="str">
        <f aca="false">IF(A234="","",IF(AND(COUNTIF(Students!$A$2:$A$500,B234)=1,COUNTIF($A$2:$A$1000,A234)=1,ISNUMBER(H234),ISNUMBER(FIND("@",I234))),"OK","CHECK"))</f>
        <v/>
      </c>
    </row>
    <row r="235" customFormat="false" ht="15" hidden="false" customHeight="false" outlineLevel="0" collapsed="false">
      <c r="F235" s="7"/>
      <c r="H235" s="9"/>
      <c r="J235" s="8"/>
      <c r="K235" s="8"/>
      <c r="M235" s="9"/>
      <c r="P235" s="8"/>
      <c r="Q235" s="8"/>
      <c r="U235" s="0" t="str">
        <f aca="false">IF(A235="","",IF(AND(COUNTIF(Students!$A$2:$A$500,B235)=1,COUNTIF($A$2:$A$1000,A235)=1,ISNUMBER(H235),ISNUMBER(FIND("@",I235))),"OK","CHECK"))</f>
        <v/>
      </c>
    </row>
    <row r="236" customFormat="false" ht="15" hidden="false" customHeight="false" outlineLevel="0" collapsed="false">
      <c r="F236" s="7"/>
      <c r="H236" s="9"/>
      <c r="J236" s="8"/>
      <c r="K236" s="8"/>
      <c r="M236" s="9"/>
      <c r="P236" s="8"/>
      <c r="Q236" s="8"/>
      <c r="U236" s="0" t="str">
        <f aca="false">IF(A236="","",IF(AND(COUNTIF(Students!$A$2:$A$500,B236)=1,COUNTIF($A$2:$A$1000,A236)=1,ISNUMBER(H236),ISNUMBER(FIND("@",I236))),"OK","CHECK"))</f>
        <v/>
      </c>
    </row>
    <row r="237" customFormat="false" ht="15" hidden="false" customHeight="false" outlineLevel="0" collapsed="false">
      <c r="F237" s="7"/>
      <c r="H237" s="9"/>
      <c r="J237" s="8"/>
      <c r="K237" s="8"/>
      <c r="M237" s="9"/>
      <c r="P237" s="8"/>
      <c r="Q237" s="8"/>
      <c r="U237" s="0" t="str">
        <f aca="false">IF(A237="","",IF(AND(COUNTIF(Students!$A$2:$A$500,B237)=1,COUNTIF($A$2:$A$1000,A237)=1,ISNUMBER(H237),ISNUMBER(FIND("@",I237))),"OK","CHECK"))</f>
        <v/>
      </c>
    </row>
    <row r="238" customFormat="false" ht="15" hidden="false" customHeight="false" outlineLevel="0" collapsed="false">
      <c r="F238" s="7"/>
      <c r="H238" s="9"/>
      <c r="J238" s="8"/>
      <c r="K238" s="8"/>
      <c r="M238" s="9"/>
      <c r="P238" s="8"/>
      <c r="Q238" s="8"/>
      <c r="U238" s="0" t="str">
        <f aca="false">IF(A238="","",IF(AND(COUNTIF(Students!$A$2:$A$500,B238)=1,COUNTIF($A$2:$A$1000,A238)=1,ISNUMBER(H238),ISNUMBER(FIND("@",I238))),"OK","CHECK"))</f>
        <v/>
      </c>
    </row>
    <row r="239" customFormat="false" ht="15" hidden="false" customHeight="false" outlineLevel="0" collapsed="false">
      <c r="F239" s="7"/>
      <c r="H239" s="9"/>
      <c r="J239" s="8"/>
      <c r="K239" s="8"/>
      <c r="M239" s="9"/>
      <c r="P239" s="8"/>
      <c r="Q239" s="8"/>
      <c r="U239" s="0" t="str">
        <f aca="false">IF(A239="","",IF(AND(COUNTIF(Students!$A$2:$A$500,B239)=1,COUNTIF($A$2:$A$1000,A239)=1,ISNUMBER(H239),ISNUMBER(FIND("@",I239))),"OK","CHECK"))</f>
        <v/>
      </c>
    </row>
    <row r="240" customFormat="false" ht="15" hidden="false" customHeight="false" outlineLevel="0" collapsed="false">
      <c r="F240" s="7"/>
      <c r="H240" s="9"/>
      <c r="J240" s="8"/>
      <c r="K240" s="8"/>
      <c r="M240" s="9"/>
      <c r="P240" s="8"/>
      <c r="Q240" s="8"/>
      <c r="U240" s="0" t="str">
        <f aca="false">IF(A240="","",IF(AND(COUNTIF(Students!$A$2:$A$500,B240)=1,COUNTIF($A$2:$A$1000,A240)=1,ISNUMBER(H240),ISNUMBER(FIND("@",I240))),"OK","CHECK"))</f>
        <v/>
      </c>
    </row>
    <row r="241" customFormat="false" ht="15" hidden="false" customHeight="false" outlineLevel="0" collapsed="false">
      <c r="F241" s="7"/>
      <c r="H241" s="9"/>
      <c r="J241" s="8"/>
      <c r="K241" s="8"/>
      <c r="M241" s="9"/>
      <c r="P241" s="8"/>
      <c r="Q241" s="8"/>
      <c r="U241" s="0" t="str">
        <f aca="false">IF(A241="","",IF(AND(COUNTIF(Students!$A$2:$A$500,B241)=1,COUNTIF($A$2:$A$1000,A241)=1,ISNUMBER(H241),ISNUMBER(FIND("@",I241))),"OK","CHECK"))</f>
        <v/>
      </c>
    </row>
    <row r="242" customFormat="false" ht="15" hidden="false" customHeight="false" outlineLevel="0" collapsed="false">
      <c r="F242" s="7"/>
      <c r="H242" s="9"/>
      <c r="J242" s="8"/>
      <c r="K242" s="8"/>
      <c r="M242" s="9"/>
      <c r="P242" s="8"/>
      <c r="Q242" s="8"/>
      <c r="U242" s="0" t="str">
        <f aca="false">IF(A242="","",IF(AND(COUNTIF(Students!$A$2:$A$500,B242)=1,COUNTIF($A$2:$A$1000,A242)=1,ISNUMBER(H242),ISNUMBER(FIND("@",I242))),"OK","CHECK"))</f>
        <v/>
      </c>
    </row>
    <row r="243" customFormat="false" ht="15" hidden="false" customHeight="false" outlineLevel="0" collapsed="false">
      <c r="F243" s="7"/>
      <c r="H243" s="9"/>
      <c r="J243" s="8"/>
      <c r="K243" s="8"/>
      <c r="M243" s="9"/>
      <c r="P243" s="8"/>
      <c r="Q243" s="8"/>
      <c r="U243" s="0" t="str">
        <f aca="false">IF(A243="","",IF(AND(COUNTIF(Students!$A$2:$A$500,B243)=1,COUNTIF($A$2:$A$1000,A243)=1,ISNUMBER(H243),ISNUMBER(FIND("@",I243))),"OK","CHECK"))</f>
        <v/>
      </c>
    </row>
    <row r="244" customFormat="false" ht="15" hidden="false" customHeight="false" outlineLevel="0" collapsed="false">
      <c r="F244" s="7"/>
      <c r="H244" s="9"/>
      <c r="J244" s="8"/>
      <c r="K244" s="8"/>
      <c r="M244" s="9"/>
      <c r="P244" s="8"/>
      <c r="Q244" s="8"/>
      <c r="U244" s="0" t="str">
        <f aca="false">IF(A244="","",IF(AND(COUNTIF(Students!$A$2:$A$500,B244)=1,COUNTIF($A$2:$A$1000,A244)=1,ISNUMBER(H244),ISNUMBER(FIND("@",I244))),"OK","CHECK"))</f>
        <v/>
      </c>
    </row>
    <row r="245" customFormat="false" ht="15" hidden="false" customHeight="false" outlineLevel="0" collapsed="false">
      <c r="F245" s="7"/>
      <c r="H245" s="9"/>
      <c r="J245" s="8"/>
      <c r="K245" s="8"/>
      <c r="M245" s="9"/>
      <c r="P245" s="8"/>
      <c r="Q245" s="8"/>
      <c r="U245" s="0" t="str">
        <f aca="false">IF(A245="","",IF(AND(COUNTIF(Students!$A$2:$A$500,B245)=1,COUNTIF($A$2:$A$1000,A245)=1,ISNUMBER(H245),ISNUMBER(FIND("@",I245))),"OK","CHECK"))</f>
        <v/>
      </c>
    </row>
    <row r="246" customFormat="false" ht="15" hidden="false" customHeight="false" outlineLevel="0" collapsed="false">
      <c r="F246" s="7"/>
      <c r="H246" s="9"/>
      <c r="J246" s="8"/>
      <c r="K246" s="8"/>
      <c r="M246" s="9"/>
      <c r="P246" s="8"/>
      <c r="Q246" s="8"/>
      <c r="U246" s="0" t="str">
        <f aca="false">IF(A246="","",IF(AND(COUNTIF(Students!$A$2:$A$500,B246)=1,COUNTIF($A$2:$A$1000,A246)=1,ISNUMBER(H246),ISNUMBER(FIND("@",I246))),"OK","CHECK"))</f>
        <v/>
      </c>
    </row>
    <row r="247" customFormat="false" ht="15" hidden="false" customHeight="false" outlineLevel="0" collapsed="false">
      <c r="F247" s="7"/>
      <c r="H247" s="9"/>
      <c r="J247" s="8"/>
      <c r="K247" s="8"/>
      <c r="M247" s="9"/>
      <c r="P247" s="8"/>
      <c r="Q247" s="8"/>
      <c r="U247" s="0" t="str">
        <f aca="false">IF(A247="","",IF(AND(COUNTIF(Students!$A$2:$A$500,B247)=1,COUNTIF($A$2:$A$1000,A247)=1,ISNUMBER(H247),ISNUMBER(FIND("@",I247))),"OK","CHECK"))</f>
        <v/>
      </c>
    </row>
    <row r="248" customFormat="false" ht="15" hidden="false" customHeight="false" outlineLevel="0" collapsed="false">
      <c r="F248" s="7"/>
      <c r="H248" s="9"/>
      <c r="J248" s="8"/>
      <c r="K248" s="8"/>
      <c r="M248" s="9"/>
      <c r="P248" s="8"/>
      <c r="Q248" s="8"/>
      <c r="U248" s="0" t="str">
        <f aca="false">IF(A248="","",IF(AND(COUNTIF(Students!$A$2:$A$500,B248)=1,COUNTIF($A$2:$A$1000,A248)=1,ISNUMBER(H248),ISNUMBER(FIND("@",I248))),"OK","CHECK"))</f>
        <v/>
      </c>
    </row>
    <row r="249" customFormat="false" ht="15" hidden="false" customHeight="false" outlineLevel="0" collapsed="false">
      <c r="F249" s="7"/>
      <c r="H249" s="9"/>
      <c r="J249" s="8"/>
      <c r="K249" s="8"/>
      <c r="M249" s="9"/>
      <c r="P249" s="8"/>
      <c r="Q249" s="8"/>
      <c r="U249" s="0" t="str">
        <f aca="false">IF(A249="","",IF(AND(COUNTIF(Students!$A$2:$A$500,B249)=1,COUNTIF($A$2:$A$1000,A249)=1,ISNUMBER(H249),ISNUMBER(FIND("@",I249))),"OK","CHECK"))</f>
        <v/>
      </c>
    </row>
    <row r="250" customFormat="false" ht="15" hidden="false" customHeight="false" outlineLevel="0" collapsed="false">
      <c r="F250" s="7"/>
      <c r="H250" s="9"/>
      <c r="J250" s="8"/>
      <c r="K250" s="8"/>
      <c r="M250" s="9"/>
      <c r="P250" s="8"/>
      <c r="Q250" s="8"/>
      <c r="U250" s="0" t="str">
        <f aca="false">IF(A250="","",IF(AND(COUNTIF(Students!$A$2:$A$500,B250)=1,COUNTIF($A$2:$A$1000,A250)=1,ISNUMBER(H250),ISNUMBER(FIND("@",I250))),"OK","CHECK"))</f>
        <v/>
      </c>
    </row>
    <row r="251" customFormat="false" ht="15" hidden="false" customHeight="false" outlineLevel="0" collapsed="false">
      <c r="F251" s="7"/>
      <c r="H251" s="9"/>
      <c r="J251" s="8"/>
      <c r="K251" s="8"/>
      <c r="M251" s="9"/>
      <c r="P251" s="8"/>
      <c r="Q251" s="8"/>
      <c r="U251" s="0" t="str">
        <f aca="false">IF(A251="","",IF(AND(COUNTIF(Students!$A$2:$A$500,B251)=1,COUNTIF($A$2:$A$1000,A251)=1,ISNUMBER(H251),ISNUMBER(FIND("@",I251))),"OK","CHECK"))</f>
        <v/>
      </c>
    </row>
    <row r="252" customFormat="false" ht="15" hidden="false" customHeight="false" outlineLevel="0" collapsed="false">
      <c r="F252" s="7"/>
      <c r="H252" s="9"/>
      <c r="J252" s="8"/>
      <c r="K252" s="8"/>
      <c r="M252" s="9"/>
      <c r="P252" s="8"/>
      <c r="Q252" s="8"/>
      <c r="U252" s="0" t="str">
        <f aca="false">IF(A252="","",IF(AND(COUNTIF(Students!$A$2:$A$500,B252)=1,COUNTIF($A$2:$A$1000,A252)=1,ISNUMBER(H252),ISNUMBER(FIND("@",I252))),"OK","CHECK"))</f>
        <v/>
      </c>
    </row>
    <row r="253" customFormat="false" ht="15" hidden="false" customHeight="false" outlineLevel="0" collapsed="false">
      <c r="F253" s="7"/>
      <c r="H253" s="9"/>
      <c r="J253" s="8"/>
      <c r="K253" s="8"/>
      <c r="M253" s="9"/>
      <c r="P253" s="8"/>
      <c r="Q253" s="8"/>
      <c r="U253" s="0" t="str">
        <f aca="false">IF(A253="","",IF(AND(COUNTIF(Students!$A$2:$A$500,B253)=1,COUNTIF($A$2:$A$1000,A253)=1,ISNUMBER(H253),ISNUMBER(FIND("@",I253))),"OK","CHECK"))</f>
        <v/>
      </c>
    </row>
    <row r="254" customFormat="false" ht="15" hidden="false" customHeight="false" outlineLevel="0" collapsed="false">
      <c r="F254" s="7"/>
      <c r="H254" s="9"/>
      <c r="J254" s="8"/>
      <c r="K254" s="8"/>
      <c r="M254" s="9"/>
      <c r="P254" s="8"/>
      <c r="Q254" s="8"/>
      <c r="U254" s="0" t="str">
        <f aca="false">IF(A254="","",IF(AND(COUNTIF(Students!$A$2:$A$500,B254)=1,COUNTIF($A$2:$A$1000,A254)=1,ISNUMBER(H254),ISNUMBER(FIND("@",I254))),"OK","CHECK"))</f>
        <v/>
      </c>
    </row>
    <row r="255" customFormat="false" ht="15" hidden="false" customHeight="false" outlineLevel="0" collapsed="false">
      <c r="F255" s="7"/>
      <c r="H255" s="9"/>
      <c r="J255" s="8"/>
      <c r="K255" s="8"/>
      <c r="M255" s="9"/>
      <c r="P255" s="8"/>
      <c r="Q255" s="8"/>
      <c r="U255" s="0" t="str">
        <f aca="false">IF(A255="","",IF(AND(COUNTIF(Students!$A$2:$A$500,B255)=1,COUNTIF($A$2:$A$1000,A255)=1,ISNUMBER(H255),ISNUMBER(FIND("@",I255))),"OK","CHECK"))</f>
        <v/>
      </c>
    </row>
    <row r="256" customFormat="false" ht="15" hidden="false" customHeight="false" outlineLevel="0" collapsed="false">
      <c r="F256" s="7"/>
      <c r="H256" s="9"/>
      <c r="J256" s="8"/>
      <c r="K256" s="8"/>
      <c r="M256" s="9"/>
      <c r="P256" s="8"/>
      <c r="Q256" s="8"/>
      <c r="U256" s="0" t="str">
        <f aca="false">IF(A256="","",IF(AND(COUNTIF(Students!$A$2:$A$500,B256)=1,COUNTIF($A$2:$A$1000,A256)=1,ISNUMBER(H256),ISNUMBER(FIND("@",I256))),"OK","CHECK"))</f>
        <v/>
      </c>
    </row>
    <row r="257" customFormat="false" ht="15" hidden="false" customHeight="false" outlineLevel="0" collapsed="false">
      <c r="F257" s="7"/>
      <c r="H257" s="9"/>
      <c r="J257" s="8"/>
      <c r="K257" s="8"/>
      <c r="M257" s="9"/>
      <c r="P257" s="8"/>
      <c r="Q257" s="8"/>
      <c r="U257" s="0" t="str">
        <f aca="false">IF(A257="","",IF(AND(COUNTIF(Students!$A$2:$A$500,B257)=1,COUNTIF($A$2:$A$1000,A257)=1,ISNUMBER(H257),ISNUMBER(FIND("@",I257))),"OK","CHECK"))</f>
        <v/>
      </c>
    </row>
    <row r="258" customFormat="false" ht="15" hidden="false" customHeight="false" outlineLevel="0" collapsed="false">
      <c r="F258" s="7"/>
      <c r="H258" s="9"/>
      <c r="J258" s="8"/>
      <c r="K258" s="8"/>
      <c r="M258" s="9"/>
      <c r="P258" s="8"/>
      <c r="Q258" s="8"/>
      <c r="U258" s="0" t="str">
        <f aca="false">IF(A258="","",IF(AND(COUNTIF(Students!$A$2:$A$500,B258)=1,COUNTIF($A$2:$A$1000,A258)=1,ISNUMBER(H258),ISNUMBER(FIND("@",I258))),"OK","CHECK"))</f>
        <v/>
      </c>
    </row>
    <row r="259" customFormat="false" ht="15" hidden="false" customHeight="false" outlineLevel="0" collapsed="false">
      <c r="F259" s="7"/>
      <c r="H259" s="9"/>
      <c r="J259" s="8"/>
      <c r="K259" s="8"/>
      <c r="M259" s="9"/>
      <c r="P259" s="8"/>
      <c r="Q259" s="8"/>
      <c r="U259" s="0" t="str">
        <f aca="false">IF(A259="","",IF(AND(COUNTIF(Students!$A$2:$A$500,B259)=1,COUNTIF($A$2:$A$1000,A259)=1,ISNUMBER(H259),ISNUMBER(FIND("@",I259))),"OK","CHECK"))</f>
        <v/>
      </c>
    </row>
    <row r="260" customFormat="false" ht="15" hidden="false" customHeight="false" outlineLevel="0" collapsed="false">
      <c r="F260" s="7"/>
      <c r="H260" s="9"/>
      <c r="J260" s="8"/>
      <c r="K260" s="8"/>
      <c r="M260" s="9"/>
      <c r="P260" s="8"/>
      <c r="Q260" s="8"/>
      <c r="U260" s="0" t="str">
        <f aca="false">IF(A260="","",IF(AND(COUNTIF(Students!$A$2:$A$500,B260)=1,COUNTIF($A$2:$A$1000,A260)=1,ISNUMBER(H260),ISNUMBER(FIND("@",I260))),"OK","CHECK"))</f>
        <v/>
      </c>
    </row>
    <row r="261" customFormat="false" ht="15" hidden="false" customHeight="false" outlineLevel="0" collapsed="false">
      <c r="F261" s="7"/>
      <c r="H261" s="9"/>
      <c r="J261" s="8"/>
      <c r="K261" s="8"/>
      <c r="M261" s="9"/>
      <c r="P261" s="8"/>
      <c r="Q261" s="8"/>
      <c r="U261" s="0" t="str">
        <f aca="false">IF(A261="","",IF(AND(COUNTIF(Students!$A$2:$A$500,B261)=1,COUNTIF($A$2:$A$1000,A261)=1,ISNUMBER(H261),ISNUMBER(FIND("@",I261))),"OK","CHECK"))</f>
        <v/>
      </c>
    </row>
    <row r="262" customFormat="false" ht="15" hidden="false" customHeight="false" outlineLevel="0" collapsed="false">
      <c r="F262" s="7"/>
      <c r="H262" s="9"/>
      <c r="J262" s="8"/>
      <c r="K262" s="8"/>
      <c r="M262" s="9"/>
      <c r="P262" s="8"/>
      <c r="Q262" s="8"/>
      <c r="U262" s="0" t="str">
        <f aca="false">IF(A262="","",IF(AND(COUNTIF(Students!$A$2:$A$500,B262)=1,COUNTIF($A$2:$A$1000,A262)=1,ISNUMBER(H262),ISNUMBER(FIND("@",I262))),"OK","CHECK"))</f>
        <v/>
      </c>
    </row>
    <row r="263" customFormat="false" ht="15" hidden="false" customHeight="false" outlineLevel="0" collapsed="false">
      <c r="F263" s="7"/>
      <c r="H263" s="9"/>
      <c r="J263" s="8"/>
      <c r="K263" s="8"/>
      <c r="M263" s="9"/>
      <c r="P263" s="8"/>
      <c r="Q263" s="8"/>
      <c r="U263" s="0" t="str">
        <f aca="false">IF(A263="","",IF(AND(COUNTIF(Students!$A$2:$A$500,B263)=1,COUNTIF($A$2:$A$1000,A263)=1,ISNUMBER(H263),ISNUMBER(FIND("@",I263))),"OK","CHECK"))</f>
        <v/>
      </c>
    </row>
    <row r="264" customFormat="false" ht="15" hidden="false" customHeight="false" outlineLevel="0" collapsed="false">
      <c r="F264" s="7"/>
      <c r="H264" s="9"/>
      <c r="J264" s="8"/>
      <c r="K264" s="8"/>
      <c r="M264" s="9"/>
      <c r="P264" s="8"/>
      <c r="Q264" s="8"/>
      <c r="U264" s="0" t="str">
        <f aca="false">IF(A264="","",IF(AND(COUNTIF(Students!$A$2:$A$500,B264)=1,COUNTIF($A$2:$A$1000,A264)=1,ISNUMBER(H264),ISNUMBER(FIND("@",I264))),"OK","CHECK"))</f>
        <v/>
      </c>
    </row>
    <row r="265" customFormat="false" ht="15" hidden="false" customHeight="false" outlineLevel="0" collapsed="false">
      <c r="F265" s="7"/>
      <c r="H265" s="9"/>
      <c r="J265" s="8"/>
      <c r="K265" s="8"/>
      <c r="M265" s="9"/>
      <c r="P265" s="8"/>
      <c r="Q265" s="8"/>
      <c r="U265" s="0" t="str">
        <f aca="false">IF(A265="","",IF(AND(COUNTIF(Students!$A$2:$A$500,B265)=1,COUNTIF($A$2:$A$1000,A265)=1,ISNUMBER(H265),ISNUMBER(FIND("@",I265))),"OK","CHECK"))</f>
        <v/>
      </c>
    </row>
    <row r="266" customFormat="false" ht="15" hidden="false" customHeight="false" outlineLevel="0" collapsed="false">
      <c r="F266" s="7"/>
      <c r="H266" s="9"/>
      <c r="J266" s="8"/>
      <c r="K266" s="8"/>
      <c r="M266" s="9"/>
      <c r="P266" s="8"/>
      <c r="Q266" s="8"/>
      <c r="U266" s="0" t="str">
        <f aca="false">IF(A266="","",IF(AND(COUNTIF(Students!$A$2:$A$500,B266)=1,COUNTIF($A$2:$A$1000,A266)=1,ISNUMBER(H266),ISNUMBER(FIND("@",I266))),"OK","CHECK"))</f>
        <v/>
      </c>
    </row>
    <row r="267" customFormat="false" ht="15" hidden="false" customHeight="false" outlineLevel="0" collapsed="false">
      <c r="F267" s="7"/>
      <c r="H267" s="9"/>
      <c r="J267" s="8"/>
      <c r="K267" s="8"/>
      <c r="M267" s="9"/>
      <c r="P267" s="8"/>
      <c r="Q267" s="8"/>
      <c r="U267" s="0" t="str">
        <f aca="false">IF(A267="","",IF(AND(COUNTIF(Students!$A$2:$A$500,B267)=1,COUNTIF($A$2:$A$1000,A267)=1,ISNUMBER(H267),ISNUMBER(FIND("@",I267))),"OK","CHECK"))</f>
        <v/>
      </c>
    </row>
    <row r="268" customFormat="false" ht="15" hidden="false" customHeight="false" outlineLevel="0" collapsed="false">
      <c r="F268" s="7"/>
      <c r="H268" s="9"/>
      <c r="J268" s="8"/>
      <c r="K268" s="8"/>
      <c r="M268" s="9"/>
      <c r="P268" s="8"/>
      <c r="Q268" s="8"/>
      <c r="U268" s="0" t="str">
        <f aca="false">IF(A268="","",IF(AND(COUNTIF(Students!$A$2:$A$500,B268)=1,COUNTIF($A$2:$A$1000,A268)=1,ISNUMBER(H268),ISNUMBER(FIND("@",I268))),"OK","CHECK"))</f>
        <v/>
      </c>
    </row>
    <row r="269" customFormat="false" ht="15" hidden="false" customHeight="false" outlineLevel="0" collapsed="false">
      <c r="F269" s="7"/>
      <c r="H269" s="9"/>
      <c r="J269" s="8"/>
      <c r="K269" s="8"/>
      <c r="M269" s="9"/>
      <c r="P269" s="8"/>
      <c r="Q269" s="8"/>
      <c r="U269" s="0" t="str">
        <f aca="false">IF(A269="","",IF(AND(COUNTIF(Students!$A$2:$A$500,B269)=1,COUNTIF($A$2:$A$1000,A269)=1,ISNUMBER(H269),ISNUMBER(FIND("@",I269))),"OK","CHECK"))</f>
        <v/>
      </c>
    </row>
    <row r="270" customFormat="false" ht="15" hidden="false" customHeight="false" outlineLevel="0" collapsed="false">
      <c r="F270" s="7"/>
      <c r="H270" s="9"/>
      <c r="J270" s="8"/>
      <c r="K270" s="8"/>
      <c r="M270" s="9"/>
      <c r="P270" s="8"/>
      <c r="Q270" s="8"/>
      <c r="U270" s="0" t="str">
        <f aca="false">IF(A270="","",IF(AND(COUNTIF(Students!$A$2:$A$500,B270)=1,COUNTIF($A$2:$A$1000,A270)=1,ISNUMBER(H270),ISNUMBER(FIND("@",I270))),"OK","CHECK"))</f>
        <v/>
      </c>
    </row>
    <row r="271" customFormat="false" ht="15" hidden="false" customHeight="false" outlineLevel="0" collapsed="false">
      <c r="F271" s="7"/>
      <c r="H271" s="9"/>
      <c r="J271" s="8"/>
      <c r="K271" s="8"/>
      <c r="M271" s="9"/>
      <c r="P271" s="8"/>
      <c r="Q271" s="8"/>
      <c r="U271" s="0" t="str">
        <f aca="false">IF(A271="","",IF(AND(COUNTIF(Students!$A$2:$A$500,B271)=1,COUNTIF($A$2:$A$1000,A271)=1,ISNUMBER(H271),ISNUMBER(FIND("@",I271))),"OK","CHECK"))</f>
        <v/>
      </c>
    </row>
    <row r="272" customFormat="false" ht="15" hidden="false" customHeight="false" outlineLevel="0" collapsed="false">
      <c r="F272" s="7"/>
      <c r="H272" s="9"/>
      <c r="J272" s="8"/>
      <c r="K272" s="8"/>
      <c r="M272" s="9"/>
      <c r="P272" s="8"/>
      <c r="Q272" s="8"/>
      <c r="U272" s="0" t="str">
        <f aca="false">IF(A272="","",IF(AND(COUNTIF(Students!$A$2:$A$500,B272)=1,COUNTIF($A$2:$A$1000,A272)=1,ISNUMBER(H272),ISNUMBER(FIND("@",I272))),"OK","CHECK"))</f>
        <v/>
      </c>
    </row>
    <row r="273" customFormat="false" ht="15" hidden="false" customHeight="false" outlineLevel="0" collapsed="false">
      <c r="F273" s="7"/>
      <c r="H273" s="9"/>
      <c r="J273" s="8"/>
      <c r="K273" s="8"/>
      <c r="M273" s="9"/>
      <c r="P273" s="8"/>
      <c r="Q273" s="8"/>
      <c r="U273" s="0" t="str">
        <f aca="false">IF(A273="","",IF(AND(COUNTIF(Students!$A$2:$A$500,B273)=1,COUNTIF($A$2:$A$1000,A273)=1,ISNUMBER(H273),ISNUMBER(FIND("@",I273))),"OK","CHECK"))</f>
        <v/>
      </c>
    </row>
    <row r="274" customFormat="false" ht="15" hidden="false" customHeight="false" outlineLevel="0" collapsed="false">
      <c r="F274" s="7"/>
      <c r="H274" s="9"/>
      <c r="J274" s="8"/>
      <c r="K274" s="8"/>
      <c r="M274" s="9"/>
      <c r="P274" s="8"/>
      <c r="Q274" s="8"/>
      <c r="U274" s="0" t="str">
        <f aca="false">IF(A274="","",IF(AND(COUNTIF(Students!$A$2:$A$500,B274)=1,COUNTIF($A$2:$A$1000,A274)=1,ISNUMBER(H274),ISNUMBER(FIND("@",I274))),"OK","CHECK"))</f>
        <v/>
      </c>
    </row>
    <row r="275" customFormat="false" ht="15" hidden="false" customHeight="false" outlineLevel="0" collapsed="false">
      <c r="F275" s="7"/>
      <c r="H275" s="9"/>
      <c r="J275" s="8"/>
      <c r="K275" s="8"/>
      <c r="M275" s="9"/>
      <c r="P275" s="8"/>
      <c r="Q275" s="8"/>
      <c r="U275" s="0" t="str">
        <f aca="false">IF(A275="","",IF(AND(COUNTIF(Students!$A$2:$A$500,B275)=1,COUNTIF($A$2:$A$1000,A275)=1,ISNUMBER(H275),ISNUMBER(FIND("@",I275))),"OK","CHECK"))</f>
        <v/>
      </c>
    </row>
    <row r="276" customFormat="false" ht="15" hidden="false" customHeight="false" outlineLevel="0" collapsed="false">
      <c r="F276" s="7"/>
      <c r="H276" s="9"/>
      <c r="J276" s="8"/>
      <c r="K276" s="8"/>
      <c r="M276" s="9"/>
      <c r="P276" s="8"/>
      <c r="Q276" s="8"/>
      <c r="U276" s="0" t="str">
        <f aca="false">IF(A276="","",IF(AND(COUNTIF(Students!$A$2:$A$500,B276)=1,COUNTIF($A$2:$A$1000,A276)=1,ISNUMBER(H276),ISNUMBER(FIND("@",I276))),"OK","CHECK"))</f>
        <v/>
      </c>
    </row>
    <row r="277" customFormat="false" ht="15" hidden="false" customHeight="false" outlineLevel="0" collapsed="false">
      <c r="F277" s="7"/>
      <c r="H277" s="9"/>
      <c r="J277" s="8"/>
      <c r="K277" s="8"/>
      <c r="M277" s="9"/>
      <c r="P277" s="8"/>
      <c r="Q277" s="8"/>
      <c r="U277" s="0" t="str">
        <f aca="false">IF(A277="","",IF(AND(COUNTIF(Students!$A$2:$A$500,B277)=1,COUNTIF($A$2:$A$1000,A277)=1,ISNUMBER(H277),ISNUMBER(FIND("@",I277))),"OK","CHECK"))</f>
        <v/>
      </c>
    </row>
    <row r="278" customFormat="false" ht="15" hidden="false" customHeight="false" outlineLevel="0" collapsed="false">
      <c r="F278" s="7"/>
      <c r="H278" s="9"/>
      <c r="J278" s="8"/>
      <c r="K278" s="8"/>
      <c r="M278" s="9"/>
      <c r="P278" s="8"/>
      <c r="Q278" s="8"/>
      <c r="U278" s="0" t="str">
        <f aca="false">IF(A278="","",IF(AND(COUNTIF(Students!$A$2:$A$500,B278)=1,COUNTIF($A$2:$A$1000,A278)=1,ISNUMBER(H278),ISNUMBER(FIND("@",I278))),"OK","CHECK"))</f>
        <v/>
      </c>
    </row>
    <row r="279" customFormat="false" ht="15" hidden="false" customHeight="false" outlineLevel="0" collapsed="false">
      <c r="F279" s="7"/>
      <c r="H279" s="9"/>
      <c r="J279" s="8"/>
      <c r="K279" s="8"/>
      <c r="M279" s="9"/>
      <c r="P279" s="8"/>
      <c r="Q279" s="8"/>
      <c r="U279" s="0" t="str">
        <f aca="false">IF(A279="","",IF(AND(COUNTIF(Students!$A$2:$A$500,B279)=1,COUNTIF($A$2:$A$1000,A279)=1,ISNUMBER(H279),ISNUMBER(FIND("@",I279))),"OK","CHECK"))</f>
        <v/>
      </c>
    </row>
    <row r="280" customFormat="false" ht="15" hidden="false" customHeight="false" outlineLevel="0" collapsed="false">
      <c r="F280" s="7"/>
      <c r="H280" s="9"/>
      <c r="J280" s="8"/>
      <c r="K280" s="8"/>
      <c r="M280" s="9"/>
      <c r="P280" s="8"/>
      <c r="Q280" s="8"/>
      <c r="U280" s="0" t="str">
        <f aca="false">IF(A280="","",IF(AND(COUNTIF(Students!$A$2:$A$500,B280)=1,COUNTIF($A$2:$A$1000,A280)=1,ISNUMBER(H280),ISNUMBER(FIND("@",I280))),"OK","CHECK"))</f>
        <v/>
      </c>
    </row>
    <row r="281" customFormat="false" ht="15" hidden="false" customHeight="false" outlineLevel="0" collapsed="false">
      <c r="F281" s="7"/>
      <c r="H281" s="9"/>
      <c r="J281" s="8"/>
      <c r="K281" s="8"/>
      <c r="M281" s="9"/>
      <c r="P281" s="8"/>
      <c r="Q281" s="8"/>
      <c r="U281" s="0" t="str">
        <f aca="false">IF(A281="","",IF(AND(COUNTIF(Students!$A$2:$A$500,B281)=1,COUNTIF($A$2:$A$1000,A281)=1,ISNUMBER(H281),ISNUMBER(FIND("@",I281))),"OK","CHECK"))</f>
        <v/>
      </c>
    </row>
    <row r="282" customFormat="false" ht="15" hidden="false" customHeight="false" outlineLevel="0" collapsed="false">
      <c r="F282" s="7"/>
      <c r="H282" s="9"/>
      <c r="J282" s="8"/>
      <c r="K282" s="8"/>
      <c r="M282" s="9"/>
      <c r="P282" s="8"/>
      <c r="Q282" s="8"/>
      <c r="U282" s="0" t="str">
        <f aca="false">IF(A282="","",IF(AND(COUNTIF(Students!$A$2:$A$500,B282)=1,COUNTIF($A$2:$A$1000,A282)=1,ISNUMBER(H282),ISNUMBER(FIND("@",I282))),"OK","CHECK"))</f>
        <v/>
      </c>
    </row>
    <row r="283" customFormat="false" ht="15" hidden="false" customHeight="false" outlineLevel="0" collapsed="false">
      <c r="F283" s="7"/>
      <c r="H283" s="9"/>
      <c r="J283" s="8"/>
      <c r="K283" s="8"/>
      <c r="M283" s="9"/>
      <c r="P283" s="8"/>
      <c r="Q283" s="8"/>
      <c r="U283" s="0" t="str">
        <f aca="false">IF(A283="","",IF(AND(COUNTIF(Students!$A$2:$A$500,B283)=1,COUNTIF($A$2:$A$1000,A283)=1,ISNUMBER(H283),ISNUMBER(FIND("@",I283))),"OK","CHECK"))</f>
        <v/>
      </c>
    </row>
    <row r="284" customFormat="false" ht="15" hidden="false" customHeight="false" outlineLevel="0" collapsed="false">
      <c r="F284" s="7"/>
      <c r="H284" s="9"/>
      <c r="J284" s="8"/>
      <c r="K284" s="8"/>
      <c r="M284" s="9"/>
      <c r="P284" s="8"/>
      <c r="Q284" s="8"/>
      <c r="U284" s="0" t="str">
        <f aca="false">IF(A284="","",IF(AND(COUNTIF(Students!$A$2:$A$500,B284)=1,COUNTIF($A$2:$A$1000,A284)=1,ISNUMBER(H284),ISNUMBER(FIND("@",I284))),"OK","CHECK"))</f>
        <v/>
      </c>
    </row>
    <row r="285" customFormat="false" ht="15" hidden="false" customHeight="false" outlineLevel="0" collapsed="false">
      <c r="F285" s="7"/>
      <c r="H285" s="9"/>
      <c r="J285" s="8"/>
      <c r="K285" s="8"/>
      <c r="M285" s="9"/>
      <c r="P285" s="8"/>
      <c r="Q285" s="8"/>
      <c r="U285" s="0" t="str">
        <f aca="false">IF(A285="","",IF(AND(COUNTIF(Students!$A$2:$A$500,B285)=1,COUNTIF($A$2:$A$1000,A285)=1,ISNUMBER(H285),ISNUMBER(FIND("@",I285))),"OK","CHECK"))</f>
        <v/>
      </c>
    </row>
    <row r="286" customFormat="false" ht="15" hidden="false" customHeight="false" outlineLevel="0" collapsed="false">
      <c r="F286" s="7"/>
      <c r="H286" s="9"/>
      <c r="J286" s="8"/>
      <c r="K286" s="8"/>
      <c r="M286" s="9"/>
      <c r="P286" s="8"/>
      <c r="Q286" s="8"/>
      <c r="U286" s="0" t="str">
        <f aca="false">IF(A286="","",IF(AND(COUNTIF(Students!$A$2:$A$500,B286)=1,COUNTIF($A$2:$A$1000,A286)=1,ISNUMBER(H286),ISNUMBER(FIND("@",I286))),"OK","CHECK"))</f>
        <v/>
      </c>
    </row>
    <row r="287" customFormat="false" ht="15" hidden="false" customHeight="false" outlineLevel="0" collapsed="false">
      <c r="F287" s="7"/>
      <c r="H287" s="9"/>
      <c r="J287" s="8"/>
      <c r="K287" s="8"/>
      <c r="M287" s="9"/>
      <c r="P287" s="8"/>
      <c r="Q287" s="8"/>
      <c r="U287" s="0" t="str">
        <f aca="false">IF(A287="","",IF(AND(COUNTIF(Students!$A$2:$A$500,B287)=1,COUNTIF($A$2:$A$1000,A287)=1,ISNUMBER(H287),ISNUMBER(FIND("@",I287))),"OK","CHECK"))</f>
        <v/>
      </c>
    </row>
    <row r="288" customFormat="false" ht="15" hidden="false" customHeight="false" outlineLevel="0" collapsed="false">
      <c r="F288" s="7"/>
      <c r="H288" s="9"/>
      <c r="J288" s="8"/>
      <c r="K288" s="8"/>
      <c r="M288" s="9"/>
      <c r="P288" s="8"/>
      <c r="Q288" s="8"/>
      <c r="U288" s="0" t="str">
        <f aca="false">IF(A288="","",IF(AND(COUNTIF(Students!$A$2:$A$500,B288)=1,COUNTIF($A$2:$A$1000,A288)=1,ISNUMBER(H288),ISNUMBER(FIND("@",I288))),"OK","CHECK"))</f>
        <v/>
      </c>
    </row>
    <row r="289" customFormat="false" ht="15" hidden="false" customHeight="false" outlineLevel="0" collapsed="false">
      <c r="F289" s="7"/>
      <c r="H289" s="9"/>
      <c r="J289" s="8"/>
      <c r="K289" s="8"/>
      <c r="M289" s="9"/>
      <c r="P289" s="8"/>
      <c r="Q289" s="8"/>
      <c r="U289" s="0" t="str">
        <f aca="false">IF(A289="","",IF(AND(COUNTIF(Students!$A$2:$A$500,B289)=1,COUNTIF($A$2:$A$1000,A289)=1,ISNUMBER(H289),ISNUMBER(FIND("@",I289))),"OK","CHECK"))</f>
        <v/>
      </c>
    </row>
    <row r="290" customFormat="false" ht="15" hidden="false" customHeight="false" outlineLevel="0" collapsed="false">
      <c r="F290" s="7"/>
      <c r="H290" s="9"/>
      <c r="J290" s="8"/>
      <c r="K290" s="8"/>
      <c r="M290" s="9"/>
      <c r="P290" s="8"/>
      <c r="Q290" s="8"/>
      <c r="U290" s="0" t="str">
        <f aca="false">IF(A290="","",IF(AND(COUNTIF(Students!$A$2:$A$500,B290)=1,COUNTIF($A$2:$A$1000,A290)=1,ISNUMBER(H290),ISNUMBER(FIND("@",I290))),"OK","CHECK"))</f>
        <v/>
      </c>
    </row>
    <row r="291" customFormat="false" ht="15" hidden="false" customHeight="false" outlineLevel="0" collapsed="false">
      <c r="F291" s="7"/>
      <c r="H291" s="9"/>
      <c r="J291" s="8"/>
      <c r="K291" s="8"/>
      <c r="M291" s="9"/>
      <c r="P291" s="8"/>
      <c r="Q291" s="8"/>
      <c r="U291" s="0" t="str">
        <f aca="false">IF(A291="","",IF(AND(COUNTIF(Students!$A$2:$A$500,B291)=1,COUNTIF($A$2:$A$1000,A291)=1,ISNUMBER(H291),ISNUMBER(FIND("@",I291))),"OK","CHECK"))</f>
        <v/>
      </c>
    </row>
    <row r="292" customFormat="false" ht="15" hidden="false" customHeight="false" outlineLevel="0" collapsed="false">
      <c r="F292" s="7"/>
      <c r="H292" s="9"/>
      <c r="J292" s="8"/>
      <c r="K292" s="8"/>
      <c r="M292" s="9"/>
      <c r="P292" s="8"/>
      <c r="Q292" s="8"/>
      <c r="U292" s="0" t="str">
        <f aca="false">IF(A292="","",IF(AND(COUNTIF(Students!$A$2:$A$500,B292)=1,COUNTIF($A$2:$A$1000,A292)=1,ISNUMBER(H292),ISNUMBER(FIND("@",I292))),"OK","CHECK"))</f>
        <v/>
      </c>
    </row>
    <row r="293" customFormat="false" ht="15" hidden="false" customHeight="false" outlineLevel="0" collapsed="false">
      <c r="F293" s="7"/>
      <c r="H293" s="9"/>
      <c r="J293" s="8"/>
      <c r="K293" s="8"/>
      <c r="M293" s="9"/>
      <c r="P293" s="8"/>
      <c r="Q293" s="8"/>
      <c r="U293" s="0" t="str">
        <f aca="false">IF(A293="","",IF(AND(COUNTIF(Students!$A$2:$A$500,B293)=1,COUNTIF($A$2:$A$1000,A293)=1,ISNUMBER(H293),ISNUMBER(FIND("@",I293))),"OK","CHECK"))</f>
        <v/>
      </c>
    </row>
    <row r="294" customFormat="false" ht="15" hidden="false" customHeight="false" outlineLevel="0" collapsed="false">
      <c r="F294" s="7"/>
      <c r="H294" s="9"/>
      <c r="J294" s="8"/>
      <c r="K294" s="8"/>
      <c r="M294" s="9"/>
      <c r="P294" s="8"/>
      <c r="Q294" s="8"/>
      <c r="U294" s="0" t="str">
        <f aca="false">IF(A294="","",IF(AND(COUNTIF(Students!$A$2:$A$500,B294)=1,COUNTIF($A$2:$A$1000,A294)=1,ISNUMBER(H294),ISNUMBER(FIND("@",I294))),"OK","CHECK"))</f>
        <v/>
      </c>
    </row>
    <row r="295" customFormat="false" ht="15" hidden="false" customHeight="false" outlineLevel="0" collapsed="false">
      <c r="F295" s="7"/>
      <c r="H295" s="9"/>
      <c r="J295" s="8"/>
      <c r="K295" s="8"/>
      <c r="M295" s="9"/>
      <c r="P295" s="8"/>
      <c r="Q295" s="8"/>
      <c r="U295" s="0" t="str">
        <f aca="false">IF(A295="","",IF(AND(COUNTIF(Students!$A$2:$A$500,B295)=1,COUNTIF($A$2:$A$1000,A295)=1,ISNUMBER(H295),ISNUMBER(FIND("@",I295))),"OK","CHECK"))</f>
        <v/>
      </c>
    </row>
    <row r="296" customFormat="false" ht="15" hidden="false" customHeight="false" outlineLevel="0" collapsed="false">
      <c r="F296" s="7"/>
      <c r="H296" s="9"/>
      <c r="J296" s="8"/>
      <c r="K296" s="8"/>
      <c r="M296" s="9"/>
      <c r="P296" s="8"/>
      <c r="Q296" s="8"/>
      <c r="U296" s="0" t="str">
        <f aca="false">IF(A296="","",IF(AND(COUNTIF(Students!$A$2:$A$500,B296)=1,COUNTIF($A$2:$A$1000,A296)=1,ISNUMBER(H296),ISNUMBER(FIND("@",I296))),"OK","CHECK"))</f>
        <v/>
      </c>
    </row>
    <row r="297" customFormat="false" ht="15" hidden="false" customHeight="false" outlineLevel="0" collapsed="false">
      <c r="F297" s="7"/>
      <c r="H297" s="9"/>
      <c r="J297" s="8"/>
      <c r="K297" s="8"/>
      <c r="M297" s="9"/>
      <c r="P297" s="8"/>
      <c r="Q297" s="8"/>
      <c r="U297" s="0" t="str">
        <f aca="false">IF(A297="","",IF(AND(COUNTIF(Students!$A$2:$A$500,B297)=1,COUNTIF($A$2:$A$1000,A297)=1,ISNUMBER(H297),ISNUMBER(FIND("@",I297))),"OK","CHECK"))</f>
        <v/>
      </c>
    </row>
    <row r="298" customFormat="false" ht="15" hidden="false" customHeight="false" outlineLevel="0" collapsed="false">
      <c r="F298" s="7"/>
      <c r="H298" s="9"/>
      <c r="J298" s="8"/>
      <c r="K298" s="8"/>
      <c r="M298" s="9"/>
      <c r="P298" s="8"/>
      <c r="Q298" s="8"/>
      <c r="U298" s="0" t="str">
        <f aca="false">IF(A298="","",IF(AND(COUNTIF(Students!$A$2:$A$500,B298)=1,COUNTIF($A$2:$A$1000,A298)=1,ISNUMBER(H298),ISNUMBER(FIND("@",I298))),"OK","CHECK"))</f>
        <v/>
      </c>
    </row>
    <row r="299" customFormat="false" ht="15" hidden="false" customHeight="false" outlineLevel="0" collapsed="false">
      <c r="F299" s="7"/>
      <c r="H299" s="9"/>
      <c r="J299" s="8"/>
      <c r="K299" s="8"/>
      <c r="M299" s="9"/>
      <c r="P299" s="8"/>
      <c r="Q299" s="8"/>
      <c r="U299" s="0" t="str">
        <f aca="false">IF(A299="","",IF(AND(COUNTIF(Students!$A$2:$A$500,B299)=1,COUNTIF($A$2:$A$1000,A299)=1,ISNUMBER(H299),ISNUMBER(FIND("@",I299))),"OK","CHECK"))</f>
        <v/>
      </c>
    </row>
    <row r="300" customFormat="false" ht="15" hidden="false" customHeight="false" outlineLevel="0" collapsed="false">
      <c r="F300" s="7"/>
      <c r="H300" s="9"/>
      <c r="J300" s="8"/>
      <c r="K300" s="8"/>
      <c r="M300" s="9"/>
      <c r="P300" s="8"/>
      <c r="Q300" s="8"/>
      <c r="U300" s="0" t="str">
        <f aca="false">IF(A300="","",IF(AND(COUNTIF(Students!$A$2:$A$500,B300)=1,COUNTIF($A$2:$A$1000,A300)=1,ISNUMBER(H300),ISNUMBER(FIND("@",I300))),"OK","CHECK"))</f>
        <v/>
      </c>
    </row>
    <row r="301" customFormat="false" ht="15" hidden="false" customHeight="false" outlineLevel="0" collapsed="false">
      <c r="F301" s="7"/>
      <c r="H301" s="9"/>
      <c r="J301" s="8"/>
      <c r="K301" s="8"/>
      <c r="M301" s="9"/>
      <c r="P301" s="8"/>
      <c r="Q301" s="8"/>
      <c r="U301" s="0" t="str">
        <f aca="false">IF(A301="","",IF(AND(COUNTIF(Students!$A$2:$A$500,B301)=1,COUNTIF($A$2:$A$1000,A301)=1,ISNUMBER(H301),ISNUMBER(FIND("@",I301))),"OK","CHECK"))</f>
        <v/>
      </c>
    </row>
    <row r="302" customFormat="false" ht="15" hidden="false" customHeight="false" outlineLevel="0" collapsed="false">
      <c r="F302" s="7"/>
      <c r="H302" s="9"/>
      <c r="J302" s="8"/>
      <c r="K302" s="8"/>
      <c r="M302" s="9"/>
      <c r="P302" s="8"/>
      <c r="Q302" s="8"/>
      <c r="U302" s="0" t="str">
        <f aca="false">IF(A302="","",IF(AND(COUNTIF(Students!$A$2:$A$500,B302)=1,COUNTIF($A$2:$A$1000,A302)=1,ISNUMBER(H302),ISNUMBER(FIND("@",I302))),"OK","CHECK"))</f>
        <v/>
      </c>
    </row>
    <row r="303" customFormat="false" ht="15" hidden="false" customHeight="false" outlineLevel="0" collapsed="false">
      <c r="F303" s="7"/>
      <c r="H303" s="9"/>
      <c r="J303" s="8"/>
      <c r="K303" s="8"/>
      <c r="M303" s="9"/>
      <c r="P303" s="8"/>
      <c r="Q303" s="8"/>
      <c r="U303" s="0" t="str">
        <f aca="false">IF(A303="","",IF(AND(COUNTIF(Students!$A$2:$A$500,B303)=1,COUNTIF($A$2:$A$1000,A303)=1,ISNUMBER(H303),ISNUMBER(FIND("@",I303))),"OK","CHECK"))</f>
        <v/>
      </c>
    </row>
    <row r="304" customFormat="false" ht="15" hidden="false" customHeight="false" outlineLevel="0" collapsed="false">
      <c r="F304" s="7"/>
      <c r="H304" s="9"/>
      <c r="J304" s="8"/>
      <c r="K304" s="8"/>
      <c r="M304" s="9"/>
      <c r="P304" s="8"/>
      <c r="Q304" s="8"/>
      <c r="U304" s="0" t="str">
        <f aca="false">IF(A304="","",IF(AND(COUNTIF(Students!$A$2:$A$500,B304)=1,COUNTIF($A$2:$A$1000,A304)=1,ISNUMBER(H304),ISNUMBER(FIND("@",I304))),"OK","CHECK"))</f>
        <v/>
      </c>
    </row>
    <row r="305" customFormat="false" ht="15" hidden="false" customHeight="false" outlineLevel="0" collapsed="false">
      <c r="F305" s="7"/>
      <c r="H305" s="9"/>
      <c r="J305" s="8"/>
      <c r="K305" s="8"/>
      <c r="M305" s="9"/>
      <c r="P305" s="8"/>
      <c r="Q305" s="8"/>
      <c r="U305" s="0" t="str">
        <f aca="false">IF(A305="","",IF(AND(COUNTIF(Students!$A$2:$A$500,B305)=1,COUNTIF($A$2:$A$1000,A305)=1,ISNUMBER(H305),ISNUMBER(FIND("@",I305))),"OK","CHECK"))</f>
        <v/>
      </c>
    </row>
    <row r="306" customFormat="false" ht="15" hidden="false" customHeight="false" outlineLevel="0" collapsed="false">
      <c r="F306" s="7"/>
      <c r="H306" s="9"/>
      <c r="J306" s="8"/>
      <c r="K306" s="8"/>
      <c r="M306" s="9"/>
      <c r="P306" s="8"/>
      <c r="Q306" s="8"/>
      <c r="U306" s="0" t="str">
        <f aca="false">IF(A306="","",IF(AND(COUNTIF(Students!$A$2:$A$500,B306)=1,COUNTIF($A$2:$A$1000,A306)=1,ISNUMBER(H306),ISNUMBER(FIND("@",I306))),"OK","CHECK"))</f>
        <v/>
      </c>
    </row>
    <row r="307" customFormat="false" ht="15" hidden="false" customHeight="false" outlineLevel="0" collapsed="false">
      <c r="F307" s="7"/>
      <c r="H307" s="9"/>
      <c r="J307" s="8"/>
      <c r="K307" s="8"/>
      <c r="M307" s="9"/>
      <c r="P307" s="8"/>
      <c r="Q307" s="8"/>
      <c r="U307" s="0" t="str">
        <f aca="false">IF(A307="","",IF(AND(COUNTIF(Students!$A$2:$A$500,B307)=1,COUNTIF($A$2:$A$1000,A307)=1,ISNUMBER(H307),ISNUMBER(FIND("@",I307))),"OK","CHECK"))</f>
        <v/>
      </c>
    </row>
    <row r="308" customFormat="false" ht="15" hidden="false" customHeight="false" outlineLevel="0" collapsed="false">
      <c r="F308" s="7"/>
      <c r="H308" s="9"/>
      <c r="J308" s="8"/>
      <c r="K308" s="8"/>
      <c r="M308" s="9"/>
      <c r="P308" s="8"/>
      <c r="Q308" s="8"/>
      <c r="U308" s="0" t="str">
        <f aca="false">IF(A308="","",IF(AND(COUNTIF(Students!$A$2:$A$500,B308)=1,COUNTIF($A$2:$A$1000,A308)=1,ISNUMBER(H308),ISNUMBER(FIND("@",I308))),"OK","CHECK"))</f>
        <v/>
      </c>
    </row>
    <row r="309" customFormat="false" ht="15" hidden="false" customHeight="false" outlineLevel="0" collapsed="false">
      <c r="F309" s="7"/>
      <c r="H309" s="9"/>
      <c r="J309" s="8"/>
      <c r="K309" s="8"/>
      <c r="M309" s="9"/>
      <c r="P309" s="8"/>
      <c r="Q309" s="8"/>
      <c r="U309" s="0" t="str">
        <f aca="false">IF(A309="","",IF(AND(COUNTIF(Students!$A$2:$A$500,B309)=1,COUNTIF($A$2:$A$1000,A309)=1,ISNUMBER(H309),ISNUMBER(FIND("@",I309))),"OK","CHECK"))</f>
        <v/>
      </c>
    </row>
    <row r="310" customFormat="false" ht="15" hidden="false" customHeight="false" outlineLevel="0" collapsed="false">
      <c r="F310" s="7"/>
      <c r="H310" s="9"/>
      <c r="J310" s="8"/>
      <c r="K310" s="8"/>
      <c r="M310" s="9"/>
      <c r="P310" s="8"/>
      <c r="Q310" s="8"/>
      <c r="U310" s="0" t="str">
        <f aca="false">IF(A310="","",IF(AND(COUNTIF(Students!$A$2:$A$500,B310)=1,COUNTIF($A$2:$A$1000,A310)=1,ISNUMBER(H310),ISNUMBER(FIND("@",I310))),"OK","CHECK"))</f>
        <v/>
      </c>
    </row>
    <row r="311" customFormat="false" ht="15" hidden="false" customHeight="false" outlineLevel="0" collapsed="false">
      <c r="F311" s="7"/>
      <c r="H311" s="9"/>
      <c r="J311" s="8"/>
      <c r="K311" s="8"/>
      <c r="M311" s="9"/>
      <c r="P311" s="8"/>
      <c r="Q311" s="8"/>
      <c r="U311" s="0" t="str">
        <f aca="false">IF(A311="","",IF(AND(COUNTIF(Students!$A$2:$A$500,B311)=1,COUNTIF($A$2:$A$1000,A311)=1,ISNUMBER(H311),ISNUMBER(FIND("@",I311))),"OK","CHECK"))</f>
        <v/>
      </c>
    </row>
    <row r="312" customFormat="false" ht="15" hidden="false" customHeight="false" outlineLevel="0" collapsed="false">
      <c r="F312" s="7"/>
      <c r="H312" s="9"/>
      <c r="J312" s="8"/>
      <c r="K312" s="8"/>
      <c r="M312" s="9"/>
      <c r="P312" s="8"/>
      <c r="Q312" s="8"/>
      <c r="U312" s="0" t="str">
        <f aca="false">IF(A312="","",IF(AND(COUNTIF(Students!$A$2:$A$500,B312)=1,COUNTIF($A$2:$A$1000,A312)=1,ISNUMBER(H312),ISNUMBER(FIND("@",I312))),"OK","CHECK"))</f>
        <v/>
      </c>
    </row>
    <row r="313" customFormat="false" ht="15" hidden="false" customHeight="false" outlineLevel="0" collapsed="false">
      <c r="F313" s="7"/>
      <c r="H313" s="9"/>
      <c r="J313" s="8"/>
      <c r="K313" s="8"/>
      <c r="M313" s="9"/>
      <c r="P313" s="8"/>
      <c r="Q313" s="8"/>
      <c r="U313" s="0" t="str">
        <f aca="false">IF(A313="","",IF(AND(COUNTIF(Students!$A$2:$A$500,B313)=1,COUNTIF($A$2:$A$1000,A313)=1,ISNUMBER(H313),ISNUMBER(FIND("@",I313))),"OK","CHECK"))</f>
        <v/>
      </c>
    </row>
    <row r="314" customFormat="false" ht="15" hidden="false" customHeight="false" outlineLevel="0" collapsed="false">
      <c r="F314" s="7"/>
      <c r="H314" s="9"/>
      <c r="J314" s="8"/>
      <c r="K314" s="8"/>
      <c r="M314" s="9"/>
      <c r="P314" s="8"/>
      <c r="Q314" s="8"/>
      <c r="U314" s="0" t="str">
        <f aca="false">IF(A314="","",IF(AND(COUNTIF(Students!$A$2:$A$500,B314)=1,COUNTIF($A$2:$A$1000,A314)=1,ISNUMBER(H314),ISNUMBER(FIND("@",I314))),"OK","CHECK"))</f>
        <v/>
      </c>
    </row>
    <row r="315" customFormat="false" ht="15" hidden="false" customHeight="false" outlineLevel="0" collapsed="false">
      <c r="F315" s="7"/>
      <c r="H315" s="9"/>
      <c r="J315" s="8"/>
      <c r="K315" s="8"/>
      <c r="M315" s="9"/>
      <c r="P315" s="8"/>
      <c r="Q315" s="8"/>
      <c r="U315" s="0" t="str">
        <f aca="false">IF(A315="","",IF(AND(COUNTIF(Students!$A$2:$A$500,B315)=1,COUNTIF($A$2:$A$1000,A315)=1,ISNUMBER(H315),ISNUMBER(FIND("@",I315))),"OK","CHECK"))</f>
        <v/>
      </c>
    </row>
    <row r="316" customFormat="false" ht="15" hidden="false" customHeight="false" outlineLevel="0" collapsed="false">
      <c r="F316" s="7"/>
      <c r="H316" s="9"/>
      <c r="J316" s="8"/>
      <c r="K316" s="8"/>
      <c r="M316" s="9"/>
      <c r="P316" s="8"/>
      <c r="Q316" s="8"/>
      <c r="U316" s="0" t="str">
        <f aca="false">IF(A316="","",IF(AND(COUNTIF(Students!$A$2:$A$500,B316)=1,COUNTIF($A$2:$A$1000,A316)=1,ISNUMBER(H316),ISNUMBER(FIND("@",I316))),"OK","CHECK"))</f>
        <v/>
      </c>
    </row>
    <row r="317" customFormat="false" ht="15" hidden="false" customHeight="false" outlineLevel="0" collapsed="false">
      <c r="F317" s="7"/>
      <c r="H317" s="9"/>
      <c r="J317" s="8"/>
      <c r="K317" s="8"/>
      <c r="M317" s="9"/>
      <c r="P317" s="8"/>
      <c r="Q317" s="8"/>
      <c r="U317" s="0" t="str">
        <f aca="false">IF(A317="","",IF(AND(COUNTIF(Students!$A$2:$A$500,B317)=1,COUNTIF($A$2:$A$1000,A317)=1,ISNUMBER(H317),ISNUMBER(FIND("@",I317))),"OK","CHECK"))</f>
        <v/>
      </c>
    </row>
    <row r="318" customFormat="false" ht="15" hidden="false" customHeight="false" outlineLevel="0" collapsed="false">
      <c r="F318" s="7"/>
      <c r="H318" s="9"/>
      <c r="J318" s="8"/>
      <c r="K318" s="8"/>
      <c r="M318" s="9"/>
      <c r="P318" s="8"/>
      <c r="Q318" s="8"/>
      <c r="U318" s="0" t="str">
        <f aca="false">IF(A318="","",IF(AND(COUNTIF(Students!$A$2:$A$500,B318)=1,COUNTIF($A$2:$A$1000,A318)=1,ISNUMBER(H318),ISNUMBER(FIND("@",I318))),"OK","CHECK"))</f>
        <v/>
      </c>
    </row>
    <row r="319" customFormat="false" ht="15" hidden="false" customHeight="false" outlineLevel="0" collapsed="false">
      <c r="F319" s="7"/>
      <c r="H319" s="9"/>
      <c r="J319" s="8"/>
      <c r="K319" s="8"/>
      <c r="M319" s="9"/>
      <c r="P319" s="8"/>
      <c r="Q319" s="8"/>
      <c r="U319" s="0" t="str">
        <f aca="false">IF(A319="","",IF(AND(COUNTIF(Students!$A$2:$A$500,B319)=1,COUNTIF($A$2:$A$1000,A319)=1,ISNUMBER(H319),ISNUMBER(FIND("@",I319))),"OK","CHECK"))</f>
        <v/>
      </c>
    </row>
    <row r="320" customFormat="false" ht="15" hidden="false" customHeight="false" outlineLevel="0" collapsed="false">
      <c r="F320" s="7"/>
      <c r="H320" s="9"/>
      <c r="J320" s="8"/>
      <c r="K320" s="8"/>
      <c r="M320" s="9"/>
      <c r="P320" s="8"/>
      <c r="Q320" s="8"/>
      <c r="U320" s="0" t="str">
        <f aca="false">IF(A320="","",IF(AND(COUNTIF(Students!$A$2:$A$500,B320)=1,COUNTIF($A$2:$A$1000,A320)=1,ISNUMBER(H320),ISNUMBER(FIND("@",I320))),"OK","CHECK"))</f>
        <v/>
      </c>
    </row>
    <row r="321" customFormat="false" ht="15" hidden="false" customHeight="false" outlineLevel="0" collapsed="false">
      <c r="F321" s="7"/>
      <c r="H321" s="9"/>
      <c r="J321" s="8"/>
      <c r="K321" s="8"/>
      <c r="M321" s="9"/>
      <c r="P321" s="8"/>
      <c r="Q321" s="8"/>
      <c r="U321" s="0" t="str">
        <f aca="false">IF(A321="","",IF(AND(COUNTIF(Students!$A$2:$A$500,B321)=1,COUNTIF($A$2:$A$1000,A321)=1,ISNUMBER(H321),ISNUMBER(FIND("@",I321))),"OK","CHECK"))</f>
        <v/>
      </c>
    </row>
    <row r="322" customFormat="false" ht="15" hidden="false" customHeight="false" outlineLevel="0" collapsed="false">
      <c r="F322" s="7"/>
      <c r="H322" s="9"/>
      <c r="J322" s="8"/>
      <c r="K322" s="8"/>
      <c r="M322" s="9"/>
      <c r="P322" s="8"/>
      <c r="Q322" s="8"/>
      <c r="U322" s="0" t="str">
        <f aca="false">IF(A322="","",IF(AND(COUNTIF(Students!$A$2:$A$500,B322)=1,COUNTIF($A$2:$A$1000,A322)=1,ISNUMBER(H322),ISNUMBER(FIND("@",I322))),"OK","CHECK"))</f>
        <v/>
      </c>
    </row>
    <row r="323" customFormat="false" ht="15" hidden="false" customHeight="false" outlineLevel="0" collapsed="false">
      <c r="F323" s="7"/>
      <c r="H323" s="9"/>
      <c r="J323" s="8"/>
      <c r="K323" s="8"/>
      <c r="M323" s="9"/>
      <c r="P323" s="8"/>
      <c r="Q323" s="8"/>
      <c r="U323" s="0" t="str">
        <f aca="false">IF(A323="","",IF(AND(COUNTIF(Students!$A$2:$A$500,B323)=1,COUNTIF($A$2:$A$1000,A323)=1,ISNUMBER(H323),ISNUMBER(FIND("@",I323))),"OK","CHECK"))</f>
        <v/>
      </c>
    </row>
    <row r="324" customFormat="false" ht="15" hidden="false" customHeight="false" outlineLevel="0" collapsed="false">
      <c r="F324" s="7"/>
      <c r="H324" s="9"/>
      <c r="J324" s="8"/>
      <c r="K324" s="8"/>
      <c r="M324" s="9"/>
      <c r="P324" s="8"/>
      <c r="Q324" s="8"/>
      <c r="U324" s="0" t="str">
        <f aca="false">IF(A324="","",IF(AND(COUNTIF(Students!$A$2:$A$500,B324)=1,COUNTIF($A$2:$A$1000,A324)=1,ISNUMBER(H324),ISNUMBER(FIND("@",I324))),"OK","CHECK"))</f>
        <v/>
      </c>
    </row>
    <row r="325" customFormat="false" ht="15" hidden="false" customHeight="false" outlineLevel="0" collapsed="false">
      <c r="F325" s="7"/>
      <c r="H325" s="9"/>
      <c r="J325" s="8"/>
      <c r="K325" s="8"/>
      <c r="M325" s="9"/>
      <c r="P325" s="8"/>
      <c r="Q325" s="8"/>
      <c r="U325" s="0" t="str">
        <f aca="false">IF(A325="","",IF(AND(COUNTIF(Students!$A$2:$A$500,B325)=1,COUNTIF($A$2:$A$1000,A325)=1,ISNUMBER(H325),ISNUMBER(FIND("@",I325))),"OK","CHECK"))</f>
        <v/>
      </c>
    </row>
    <row r="326" customFormat="false" ht="15" hidden="false" customHeight="false" outlineLevel="0" collapsed="false">
      <c r="F326" s="7"/>
      <c r="H326" s="9"/>
      <c r="J326" s="8"/>
      <c r="K326" s="8"/>
      <c r="M326" s="9"/>
      <c r="P326" s="8"/>
      <c r="Q326" s="8"/>
      <c r="U326" s="0" t="str">
        <f aca="false">IF(A326="","",IF(AND(COUNTIF(Students!$A$2:$A$500,B326)=1,COUNTIF($A$2:$A$1000,A326)=1,ISNUMBER(H326),ISNUMBER(FIND("@",I326))),"OK","CHECK"))</f>
        <v/>
      </c>
    </row>
    <row r="327" customFormat="false" ht="15" hidden="false" customHeight="false" outlineLevel="0" collapsed="false">
      <c r="F327" s="7"/>
      <c r="H327" s="9"/>
      <c r="J327" s="8"/>
      <c r="K327" s="8"/>
      <c r="M327" s="9"/>
      <c r="P327" s="8"/>
      <c r="Q327" s="8"/>
      <c r="U327" s="0" t="str">
        <f aca="false">IF(A327="","",IF(AND(COUNTIF(Students!$A$2:$A$500,B327)=1,COUNTIF($A$2:$A$1000,A327)=1,ISNUMBER(H327),ISNUMBER(FIND("@",I327))),"OK","CHECK"))</f>
        <v/>
      </c>
    </row>
    <row r="328" customFormat="false" ht="15" hidden="false" customHeight="false" outlineLevel="0" collapsed="false">
      <c r="F328" s="7"/>
      <c r="H328" s="9"/>
      <c r="J328" s="8"/>
      <c r="K328" s="8"/>
      <c r="M328" s="9"/>
      <c r="P328" s="8"/>
      <c r="Q328" s="8"/>
      <c r="U328" s="0" t="str">
        <f aca="false">IF(A328="","",IF(AND(COUNTIF(Students!$A$2:$A$500,B328)=1,COUNTIF($A$2:$A$1000,A328)=1,ISNUMBER(H328),ISNUMBER(FIND("@",I328))),"OK","CHECK"))</f>
        <v/>
      </c>
    </row>
    <row r="329" customFormat="false" ht="15" hidden="false" customHeight="false" outlineLevel="0" collapsed="false">
      <c r="F329" s="7"/>
      <c r="H329" s="9"/>
      <c r="J329" s="8"/>
      <c r="K329" s="8"/>
      <c r="M329" s="9"/>
      <c r="P329" s="8"/>
      <c r="Q329" s="8"/>
      <c r="U329" s="0" t="str">
        <f aca="false">IF(A329="","",IF(AND(COUNTIF(Students!$A$2:$A$500,B329)=1,COUNTIF($A$2:$A$1000,A329)=1,ISNUMBER(H329),ISNUMBER(FIND("@",I329))),"OK","CHECK"))</f>
        <v/>
      </c>
    </row>
    <row r="330" customFormat="false" ht="15" hidden="false" customHeight="false" outlineLevel="0" collapsed="false">
      <c r="F330" s="7"/>
      <c r="H330" s="9"/>
      <c r="J330" s="8"/>
      <c r="K330" s="8"/>
      <c r="M330" s="9"/>
      <c r="P330" s="8"/>
      <c r="Q330" s="8"/>
      <c r="U330" s="0" t="str">
        <f aca="false">IF(A330="","",IF(AND(COUNTIF(Students!$A$2:$A$500,B330)=1,COUNTIF($A$2:$A$1000,A330)=1,ISNUMBER(H330),ISNUMBER(FIND("@",I330))),"OK","CHECK"))</f>
        <v/>
      </c>
    </row>
    <row r="331" customFormat="false" ht="15" hidden="false" customHeight="false" outlineLevel="0" collapsed="false">
      <c r="F331" s="7"/>
      <c r="H331" s="9"/>
      <c r="J331" s="8"/>
      <c r="K331" s="8"/>
      <c r="M331" s="9"/>
      <c r="P331" s="8"/>
      <c r="Q331" s="8"/>
      <c r="U331" s="0" t="str">
        <f aca="false">IF(A331="","",IF(AND(COUNTIF(Students!$A$2:$A$500,B331)=1,COUNTIF($A$2:$A$1000,A331)=1,ISNUMBER(H331),ISNUMBER(FIND("@",I331))),"OK","CHECK"))</f>
        <v/>
      </c>
    </row>
    <row r="332" customFormat="false" ht="15" hidden="false" customHeight="false" outlineLevel="0" collapsed="false">
      <c r="F332" s="7"/>
      <c r="H332" s="9"/>
      <c r="J332" s="8"/>
      <c r="K332" s="8"/>
      <c r="M332" s="9"/>
      <c r="P332" s="8"/>
      <c r="Q332" s="8"/>
      <c r="U332" s="0" t="str">
        <f aca="false">IF(A332="","",IF(AND(COUNTIF(Students!$A$2:$A$500,B332)=1,COUNTIF($A$2:$A$1000,A332)=1,ISNUMBER(H332),ISNUMBER(FIND("@",I332))),"OK","CHECK"))</f>
        <v/>
      </c>
    </row>
    <row r="333" customFormat="false" ht="15" hidden="false" customHeight="false" outlineLevel="0" collapsed="false">
      <c r="F333" s="7"/>
      <c r="H333" s="9"/>
      <c r="J333" s="8"/>
      <c r="K333" s="8"/>
      <c r="M333" s="9"/>
      <c r="P333" s="8"/>
      <c r="Q333" s="8"/>
      <c r="U333" s="0" t="str">
        <f aca="false">IF(A333="","",IF(AND(COUNTIF(Students!$A$2:$A$500,B333)=1,COUNTIF($A$2:$A$1000,A333)=1,ISNUMBER(H333),ISNUMBER(FIND("@",I333))),"OK","CHECK"))</f>
        <v/>
      </c>
    </row>
    <row r="334" customFormat="false" ht="15" hidden="false" customHeight="false" outlineLevel="0" collapsed="false">
      <c r="F334" s="7"/>
      <c r="H334" s="9"/>
      <c r="J334" s="8"/>
      <c r="K334" s="8"/>
      <c r="M334" s="9"/>
      <c r="P334" s="8"/>
      <c r="Q334" s="8"/>
      <c r="U334" s="0" t="str">
        <f aca="false">IF(A334="","",IF(AND(COUNTIF(Students!$A$2:$A$500,B334)=1,COUNTIF($A$2:$A$1000,A334)=1,ISNUMBER(H334),ISNUMBER(FIND("@",I334))),"OK","CHECK"))</f>
        <v/>
      </c>
    </row>
    <row r="335" customFormat="false" ht="15" hidden="false" customHeight="false" outlineLevel="0" collapsed="false">
      <c r="F335" s="7"/>
      <c r="H335" s="9"/>
      <c r="J335" s="8"/>
      <c r="K335" s="8"/>
      <c r="M335" s="9"/>
      <c r="P335" s="8"/>
      <c r="Q335" s="8"/>
      <c r="U335" s="0" t="str">
        <f aca="false">IF(A335="","",IF(AND(COUNTIF(Students!$A$2:$A$500,B335)=1,COUNTIF($A$2:$A$1000,A335)=1,ISNUMBER(H335),ISNUMBER(FIND("@",I335))),"OK","CHECK"))</f>
        <v/>
      </c>
    </row>
    <row r="336" customFormat="false" ht="15" hidden="false" customHeight="false" outlineLevel="0" collapsed="false">
      <c r="F336" s="7"/>
      <c r="H336" s="9"/>
      <c r="J336" s="8"/>
      <c r="K336" s="8"/>
      <c r="M336" s="9"/>
      <c r="P336" s="8"/>
      <c r="Q336" s="8"/>
      <c r="U336" s="0" t="str">
        <f aca="false">IF(A336="","",IF(AND(COUNTIF(Students!$A$2:$A$500,B336)=1,COUNTIF($A$2:$A$1000,A336)=1,ISNUMBER(H336),ISNUMBER(FIND("@",I336))),"OK","CHECK"))</f>
        <v/>
      </c>
    </row>
    <row r="337" customFormat="false" ht="15" hidden="false" customHeight="false" outlineLevel="0" collapsed="false">
      <c r="F337" s="7"/>
      <c r="H337" s="9"/>
      <c r="J337" s="8"/>
      <c r="K337" s="8"/>
      <c r="M337" s="9"/>
      <c r="P337" s="8"/>
      <c r="Q337" s="8"/>
      <c r="U337" s="0" t="str">
        <f aca="false">IF(A337="","",IF(AND(COUNTIF(Students!$A$2:$A$500,B337)=1,COUNTIF($A$2:$A$1000,A337)=1,ISNUMBER(H337),ISNUMBER(FIND("@",I337))),"OK","CHECK"))</f>
        <v/>
      </c>
    </row>
    <row r="338" customFormat="false" ht="15" hidden="false" customHeight="false" outlineLevel="0" collapsed="false">
      <c r="F338" s="7"/>
      <c r="H338" s="9"/>
      <c r="J338" s="8"/>
      <c r="K338" s="8"/>
      <c r="M338" s="9"/>
      <c r="P338" s="8"/>
      <c r="Q338" s="8"/>
      <c r="U338" s="0" t="str">
        <f aca="false">IF(A338="","",IF(AND(COUNTIF(Students!$A$2:$A$500,B338)=1,COUNTIF($A$2:$A$1000,A338)=1,ISNUMBER(H338),ISNUMBER(FIND("@",I338))),"OK","CHECK"))</f>
        <v/>
      </c>
    </row>
    <row r="339" customFormat="false" ht="15" hidden="false" customHeight="false" outlineLevel="0" collapsed="false">
      <c r="F339" s="7"/>
      <c r="H339" s="9"/>
      <c r="J339" s="8"/>
      <c r="K339" s="8"/>
      <c r="M339" s="9"/>
      <c r="P339" s="8"/>
      <c r="Q339" s="8"/>
      <c r="U339" s="0" t="str">
        <f aca="false">IF(A339="","",IF(AND(COUNTIF(Students!$A$2:$A$500,B339)=1,COUNTIF($A$2:$A$1000,A339)=1,ISNUMBER(H339),ISNUMBER(FIND("@",I339))),"OK","CHECK"))</f>
        <v/>
      </c>
    </row>
    <row r="340" customFormat="false" ht="15" hidden="false" customHeight="false" outlineLevel="0" collapsed="false">
      <c r="F340" s="7"/>
      <c r="H340" s="9"/>
      <c r="J340" s="8"/>
      <c r="K340" s="8"/>
      <c r="M340" s="9"/>
      <c r="P340" s="8"/>
      <c r="Q340" s="8"/>
      <c r="U340" s="0" t="str">
        <f aca="false">IF(A340="","",IF(AND(COUNTIF(Students!$A$2:$A$500,B340)=1,COUNTIF($A$2:$A$1000,A340)=1,ISNUMBER(H340),ISNUMBER(FIND("@",I340))),"OK","CHECK"))</f>
        <v/>
      </c>
    </row>
    <row r="341" customFormat="false" ht="15" hidden="false" customHeight="false" outlineLevel="0" collapsed="false">
      <c r="F341" s="7"/>
      <c r="H341" s="9"/>
      <c r="J341" s="8"/>
      <c r="K341" s="8"/>
      <c r="M341" s="9"/>
      <c r="P341" s="8"/>
      <c r="Q341" s="8"/>
      <c r="U341" s="0" t="str">
        <f aca="false">IF(A341="","",IF(AND(COUNTIF(Students!$A$2:$A$500,B341)=1,COUNTIF($A$2:$A$1000,A341)=1,ISNUMBER(H341),ISNUMBER(FIND("@",I341))),"OK","CHECK"))</f>
        <v/>
      </c>
    </row>
    <row r="342" customFormat="false" ht="15" hidden="false" customHeight="false" outlineLevel="0" collapsed="false">
      <c r="F342" s="7"/>
      <c r="H342" s="9"/>
      <c r="J342" s="8"/>
      <c r="K342" s="8"/>
      <c r="M342" s="9"/>
      <c r="P342" s="8"/>
      <c r="Q342" s="8"/>
      <c r="U342" s="0" t="str">
        <f aca="false">IF(A342="","",IF(AND(COUNTIF(Students!$A$2:$A$500,B342)=1,COUNTIF($A$2:$A$1000,A342)=1,ISNUMBER(H342),ISNUMBER(FIND("@",I342))),"OK","CHECK"))</f>
        <v/>
      </c>
    </row>
    <row r="343" customFormat="false" ht="15" hidden="false" customHeight="false" outlineLevel="0" collapsed="false">
      <c r="F343" s="7"/>
      <c r="H343" s="9"/>
      <c r="J343" s="8"/>
      <c r="K343" s="8"/>
      <c r="M343" s="9"/>
      <c r="P343" s="8"/>
      <c r="Q343" s="8"/>
      <c r="U343" s="0" t="str">
        <f aca="false">IF(A343="","",IF(AND(COUNTIF(Students!$A$2:$A$500,B343)=1,COUNTIF($A$2:$A$1000,A343)=1,ISNUMBER(H343),ISNUMBER(FIND("@",I343))),"OK","CHECK"))</f>
        <v/>
      </c>
    </row>
    <row r="344" customFormat="false" ht="15" hidden="false" customHeight="false" outlineLevel="0" collapsed="false">
      <c r="F344" s="7"/>
      <c r="H344" s="9"/>
      <c r="J344" s="8"/>
      <c r="K344" s="8"/>
      <c r="M344" s="9"/>
      <c r="P344" s="8"/>
      <c r="Q344" s="8"/>
      <c r="U344" s="0" t="str">
        <f aca="false">IF(A344="","",IF(AND(COUNTIF(Students!$A$2:$A$500,B344)=1,COUNTIF($A$2:$A$1000,A344)=1,ISNUMBER(H344),ISNUMBER(FIND("@",I344))),"OK","CHECK"))</f>
        <v/>
      </c>
    </row>
    <row r="345" customFormat="false" ht="15" hidden="false" customHeight="false" outlineLevel="0" collapsed="false">
      <c r="F345" s="7"/>
      <c r="H345" s="9"/>
      <c r="J345" s="8"/>
      <c r="K345" s="8"/>
      <c r="M345" s="9"/>
      <c r="P345" s="8"/>
      <c r="Q345" s="8"/>
      <c r="U345" s="0" t="str">
        <f aca="false">IF(A345="","",IF(AND(COUNTIF(Students!$A$2:$A$500,B345)=1,COUNTIF($A$2:$A$1000,A345)=1,ISNUMBER(H345),ISNUMBER(FIND("@",I345))),"OK","CHECK"))</f>
        <v/>
      </c>
    </row>
    <row r="346" customFormat="false" ht="15" hidden="false" customHeight="false" outlineLevel="0" collapsed="false">
      <c r="F346" s="7"/>
      <c r="H346" s="9"/>
      <c r="J346" s="8"/>
      <c r="K346" s="8"/>
      <c r="M346" s="9"/>
      <c r="P346" s="8"/>
      <c r="Q346" s="8"/>
      <c r="U346" s="0" t="str">
        <f aca="false">IF(A346="","",IF(AND(COUNTIF(Students!$A$2:$A$500,B346)=1,COUNTIF($A$2:$A$1000,A346)=1,ISNUMBER(H346),ISNUMBER(FIND("@",I346))),"OK","CHECK"))</f>
        <v/>
      </c>
    </row>
    <row r="347" customFormat="false" ht="15" hidden="false" customHeight="false" outlineLevel="0" collapsed="false">
      <c r="F347" s="7"/>
      <c r="H347" s="9"/>
      <c r="J347" s="8"/>
      <c r="K347" s="8"/>
      <c r="M347" s="9"/>
      <c r="P347" s="8"/>
      <c r="Q347" s="8"/>
      <c r="U347" s="0" t="str">
        <f aca="false">IF(A347="","",IF(AND(COUNTIF(Students!$A$2:$A$500,B347)=1,COUNTIF($A$2:$A$1000,A347)=1,ISNUMBER(H347),ISNUMBER(FIND("@",I347))),"OK","CHECK"))</f>
        <v/>
      </c>
    </row>
    <row r="348" customFormat="false" ht="15" hidden="false" customHeight="false" outlineLevel="0" collapsed="false">
      <c r="F348" s="7"/>
      <c r="H348" s="9"/>
      <c r="J348" s="8"/>
      <c r="K348" s="8"/>
      <c r="M348" s="9"/>
      <c r="P348" s="8"/>
      <c r="Q348" s="8"/>
      <c r="U348" s="0" t="str">
        <f aca="false">IF(A348="","",IF(AND(COUNTIF(Students!$A$2:$A$500,B348)=1,COUNTIF($A$2:$A$1000,A348)=1,ISNUMBER(H348),ISNUMBER(FIND("@",I348))),"OK","CHECK"))</f>
        <v/>
      </c>
    </row>
    <row r="349" customFormat="false" ht="15" hidden="false" customHeight="false" outlineLevel="0" collapsed="false">
      <c r="F349" s="7"/>
      <c r="H349" s="9"/>
      <c r="J349" s="8"/>
      <c r="K349" s="8"/>
      <c r="M349" s="9"/>
      <c r="P349" s="8"/>
      <c r="Q349" s="8"/>
      <c r="U349" s="0" t="str">
        <f aca="false">IF(A349="","",IF(AND(COUNTIF(Students!$A$2:$A$500,B349)=1,COUNTIF($A$2:$A$1000,A349)=1,ISNUMBER(H349),ISNUMBER(FIND("@",I349))),"OK","CHECK"))</f>
        <v/>
      </c>
    </row>
    <row r="350" customFormat="false" ht="15" hidden="false" customHeight="false" outlineLevel="0" collapsed="false">
      <c r="F350" s="7"/>
      <c r="H350" s="9"/>
      <c r="J350" s="8"/>
      <c r="K350" s="8"/>
      <c r="M350" s="9"/>
      <c r="P350" s="8"/>
      <c r="Q350" s="8"/>
      <c r="U350" s="0" t="str">
        <f aca="false">IF(A350="","",IF(AND(COUNTIF(Students!$A$2:$A$500,B350)=1,COUNTIF($A$2:$A$1000,A350)=1,ISNUMBER(H350),ISNUMBER(FIND("@",I350))),"OK","CHECK"))</f>
        <v/>
      </c>
    </row>
    <row r="351" customFormat="false" ht="15" hidden="false" customHeight="false" outlineLevel="0" collapsed="false">
      <c r="F351" s="7"/>
      <c r="H351" s="9"/>
      <c r="J351" s="8"/>
      <c r="K351" s="8"/>
      <c r="M351" s="9"/>
      <c r="P351" s="8"/>
      <c r="Q351" s="8"/>
      <c r="U351" s="0" t="str">
        <f aca="false">IF(A351="","",IF(AND(COUNTIF(Students!$A$2:$A$500,B351)=1,COUNTIF($A$2:$A$1000,A351)=1,ISNUMBER(H351),ISNUMBER(FIND("@",I351))),"OK","CHECK"))</f>
        <v/>
      </c>
    </row>
    <row r="352" customFormat="false" ht="15" hidden="false" customHeight="false" outlineLevel="0" collapsed="false">
      <c r="F352" s="7"/>
      <c r="H352" s="9"/>
      <c r="J352" s="8"/>
      <c r="K352" s="8"/>
      <c r="M352" s="9"/>
      <c r="P352" s="8"/>
      <c r="Q352" s="8"/>
      <c r="U352" s="0" t="str">
        <f aca="false">IF(A352="","",IF(AND(COUNTIF(Students!$A$2:$A$500,B352)=1,COUNTIF($A$2:$A$1000,A352)=1,ISNUMBER(H352),ISNUMBER(FIND("@",I352))),"OK","CHECK"))</f>
        <v/>
      </c>
    </row>
    <row r="353" customFormat="false" ht="15" hidden="false" customHeight="false" outlineLevel="0" collapsed="false">
      <c r="F353" s="7"/>
      <c r="H353" s="9"/>
      <c r="J353" s="8"/>
      <c r="K353" s="8"/>
      <c r="M353" s="9"/>
      <c r="P353" s="8"/>
      <c r="Q353" s="8"/>
      <c r="U353" s="0" t="str">
        <f aca="false">IF(A353="","",IF(AND(COUNTIF(Students!$A$2:$A$500,B353)=1,COUNTIF($A$2:$A$1000,A353)=1,ISNUMBER(H353),ISNUMBER(FIND("@",I353))),"OK","CHECK"))</f>
        <v/>
      </c>
    </row>
    <row r="354" customFormat="false" ht="15" hidden="false" customHeight="false" outlineLevel="0" collapsed="false">
      <c r="F354" s="7"/>
      <c r="H354" s="9"/>
      <c r="J354" s="8"/>
      <c r="K354" s="8"/>
      <c r="M354" s="9"/>
      <c r="P354" s="8"/>
      <c r="Q354" s="8"/>
      <c r="U354" s="0" t="str">
        <f aca="false">IF(A354="","",IF(AND(COUNTIF(Students!$A$2:$A$500,B354)=1,COUNTIF($A$2:$A$1000,A354)=1,ISNUMBER(H354),ISNUMBER(FIND("@",I354))),"OK","CHECK"))</f>
        <v/>
      </c>
    </row>
    <row r="355" customFormat="false" ht="15" hidden="false" customHeight="false" outlineLevel="0" collapsed="false">
      <c r="F355" s="7"/>
      <c r="H355" s="9"/>
      <c r="J355" s="8"/>
      <c r="K355" s="8"/>
      <c r="M355" s="9"/>
      <c r="P355" s="8"/>
      <c r="Q355" s="8"/>
      <c r="U355" s="0" t="str">
        <f aca="false">IF(A355="","",IF(AND(COUNTIF(Students!$A$2:$A$500,B355)=1,COUNTIF($A$2:$A$1000,A355)=1,ISNUMBER(H355),ISNUMBER(FIND("@",I355))),"OK","CHECK"))</f>
        <v/>
      </c>
    </row>
    <row r="356" customFormat="false" ht="15" hidden="false" customHeight="false" outlineLevel="0" collapsed="false">
      <c r="F356" s="7"/>
      <c r="H356" s="9"/>
      <c r="J356" s="8"/>
      <c r="K356" s="8"/>
      <c r="M356" s="9"/>
      <c r="P356" s="8"/>
      <c r="Q356" s="8"/>
      <c r="U356" s="0" t="str">
        <f aca="false">IF(A356="","",IF(AND(COUNTIF(Students!$A$2:$A$500,B356)=1,COUNTIF($A$2:$A$1000,A356)=1,ISNUMBER(H356),ISNUMBER(FIND("@",I356))),"OK","CHECK"))</f>
        <v/>
      </c>
    </row>
    <row r="357" customFormat="false" ht="15" hidden="false" customHeight="false" outlineLevel="0" collapsed="false">
      <c r="F357" s="7"/>
      <c r="H357" s="9"/>
      <c r="J357" s="8"/>
      <c r="K357" s="8"/>
      <c r="M357" s="9"/>
      <c r="P357" s="8"/>
      <c r="Q357" s="8"/>
      <c r="U357" s="0" t="str">
        <f aca="false">IF(A357="","",IF(AND(COUNTIF(Students!$A$2:$A$500,B357)=1,COUNTIF($A$2:$A$1000,A357)=1,ISNUMBER(H357),ISNUMBER(FIND("@",I357))),"OK","CHECK"))</f>
        <v/>
      </c>
    </row>
    <row r="358" customFormat="false" ht="15" hidden="false" customHeight="false" outlineLevel="0" collapsed="false">
      <c r="F358" s="7"/>
      <c r="H358" s="9"/>
      <c r="J358" s="8"/>
      <c r="K358" s="8"/>
      <c r="M358" s="9"/>
      <c r="P358" s="8"/>
      <c r="Q358" s="8"/>
      <c r="U358" s="0" t="str">
        <f aca="false">IF(A358="","",IF(AND(COUNTIF(Students!$A$2:$A$500,B358)=1,COUNTIF($A$2:$A$1000,A358)=1,ISNUMBER(H358),ISNUMBER(FIND("@",I358))),"OK","CHECK"))</f>
        <v/>
      </c>
    </row>
    <row r="359" customFormat="false" ht="15" hidden="false" customHeight="false" outlineLevel="0" collapsed="false">
      <c r="F359" s="7"/>
      <c r="H359" s="9"/>
      <c r="J359" s="8"/>
      <c r="K359" s="8"/>
      <c r="M359" s="9"/>
      <c r="P359" s="8"/>
      <c r="Q359" s="8"/>
      <c r="U359" s="0" t="str">
        <f aca="false">IF(A359="","",IF(AND(COUNTIF(Students!$A$2:$A$500,B359)=1,COUNTIF($A$2:$A$1000,A359)=1,ISNUMBER(H359),ISNUMBER(FIND("@",I359))),"OK","CHECK"))</f>
        <v/>
      </c>
    </row>
    <row r="360" customFormat="false" ht="15" hidden="false" customHeight="false" outlineLevel="0" collapsed="false">
      <c r="F360" s="7"/>
      <c r="H360" s="9"/>
      <c r="J360" s="8"/>
      <c r="K360" s="8"/>
      <c r="M360" s="9"/>
      <c r="P360" s="8"/>
      <c r="Q360" s="8"/>
      <c r="U360" s="0" t="str">
        <f aca="false">IF(A360="","",IF(AND(COUNTIF(Students!$A$2:$A$500,B360)=1,COUNTIF($A$2:$A$1000,A360)=1,ISNUMBER(H360),ISNUMBER(FIND("@",I360))),"OK","CHECK"))</f>
        <v/>
      </c>
    </row>
    <row r="361" customFormat="false" ht="15" hidden="false" customHeight="false" outlineLevel="0" collapsed="false">
      <c r="F361" s="7"/>
      <c r="H361" s="9"/>
      <c r="J361" s="8"/>
      <c r="K361" s="8"/>
      <c r="M361" s="9"/>
      <c r="P361" s="8"/>
      <c r="Q361" s="8"/>
      <c r="U361" s="0" t="str">
        <f aca="false">IF(A361="","",IF(AND(COUNTIF(Students!$A$2:$A$500,B361)=1,COUNTIF($A$2:$A$1000,A361)=1,ISNUMBER(H361),ISNUMBER(FIND("@",I361))),"OK","CHECK"))</f>
        <v/>
      </c>
    </row>
    <row r="362" customFormat="false" ht="15" hidden="false" customHeight="false" outlineLevel="0" collapsed="false">
      <c r="F362" s="7"/>
      <c r="H362" s="9"/>
      <c r="J362" s="8"/>
      <c r="K362" s="8"/>
      <c r="M362" s="9"/>
      <c r="P362" s="8"/>
      <c r="Q362" s="8"/>
      <c r="U362" s="0" t="str">
        <f aca="false">IF(A362="","",IF(AND(COUNTIF(Students!$A$2:$A$500,B362)=1,COUNTIF($A$2:$A$1000,A362)=1,ISNUMBER(H362),ISNUMBER(FIND("@",I362))),"OK","CHECK"))</f>
        <v/>
      </c>
    </row>
    <row r="363" customFormat="false" ht="15" hidden="false" customHeight="false" outlineLevel="0" collapsed="false">
      <c r="F363" s="7"/>
      <c r="H363" s="9"/>
      <c r="J363" s="8"/>
      <c r="K363" s="8"/>
      <c r="M363" s="9"/>
      <c r="P363" s="8"/>
      <c r="Q363" s="8"/>
      <c r="U363" s="0" t="str">
        <f aca="false">IF(A363="","",IF(AND(COUNTIF(Students!$A$2:$A$500,B363)=1,COUNTIF($A$2:$A$1000,A363)=1,ISNUMBER(H363),ISNUMBER(FIND("@",I363))),"OK","CHECK"))</f>
        <v/>
      </c>
    </row>
    <row r="364" customFormat="false" ht="15" hidden="false" customHeight="false" outlineLevel="0" collapsed="false">
      <c r="F364" s="7"/>
      <c r="H364" s="9"/>
      <c r="J364" s="8"/>
      <c r="K364" s="8"/>
      <c r="M364" s="9"/>
      <c r="P364" s="8"/>
      <c r="Q364" s="8"/>
      <c r="U364" s="0" t="str">
        <f aca="false">IF(A364="","",IF(AND(COUNTIF(Students!$A$2:$A$500,B364)=1,COUNTIF($A$2:$A$1000,A364)=1,ISNUMBER(H364),ISNUMBER(FIND("@",I364))),"OK","CHECK"))</f>
        <v/>
      </c>
    </row>
    <row r="365" customFormat="false" ht="15" hidden="false" customHeight="false" outlineLevel="0" collapsed="false">
      <c r="F365" s="7"/>
      <c r="H365" s="9"/>
      <c r="J365" s="8"/>
      <c r="K365" s="8"/>
      <c r="M365" s="9"/>
      <c r="P365" s="8"/>
      <c r="Q365" s="8"/>
      <c r="U365" s="0" t="str">
        <f aca="false">IF(A365="","",IF(AND(COUNTIF(Students!$A$2:$A$500,B365)=1,COUNTIF($A$2:$A$1000,A365)=1,ISNUMBER(H365),ISNUMBER(FIND("@",I365))),"OK","CHECK"))</f>
        <v/>
      </c>
    </row>
    <row r="366" customFormat="false" ht="15" hidden="false" customHeight="false" outlineLevel="0" collapsed="false">
      <c r="F366" s="7"/>
      <c r="H366" s="9"/>
      <c r="J366" s="8"/>
      <c r="K366" s="8"/>
      <c r="M366" s="9"/>
      <c r="P366" s="8"/>
      <c r="Q366" s="8"/>
      <c r="U366" s="0" t="str">
        <f aca="false">IF(A366="","",IF(AND(COUNTIF(Students!$A$2:$A$500,B366)=1,COUNTIF($A$2:$A$1000,A366)=1,ISNUMBER(H366),ISNUMBER(FIND("@",I366))),"OK","CHECK"))</f>
        <v/>
      </c>
    </row>
    <row r="367" customFormat="false" ht="15" hidden="false" customHeight="false" outlineLevel="0" collapsed="false">
      <c r="F367" s="7"/>
      <c r="H367" s="9"/>
      <c r="J367" s="8"/>
      <c r="K367" s="8"/>
      <c r="M367" s="9"/>
      <c r="P367" s="8"/>
      <c r="Q367" s="8"/>
      <c r="U367" s="0" t="str">
        <f aca="false">IF(A367="","",IF(AND(COUNTIF(Students!$A$2:$A$500,B367)=1,COUNTIF($A$2:$A$1000,A367)=1,ISNUMBER(H367),ISNUMBER(FIND("@",I367))),"OK","CHECK"))</f>
        <v/>
      </c>
    </row>
    <row r="368" customFormat="false" ht="15" hidden="false" customHeight="false" outlineLevel="0" collapsed="false">
      <c r="F368" s="7"/>
      <c r="H368" s="9"/>
      <c r="J368" s="8"/>
      <c r="K368" s="8"/>
      <c r="M368" s="9"/>
      <c r="P368" s="8"/>
      <c r="Q368" s="8"/>
      <c r="U368" s="0" t="str">
        <f aca="false">IF(A368="","",IF(AND(COUNTIF(Students!$A$2:$A$500,B368)=1,COUNTIF($A$2:$A$1000,A368)=1,ISNUMBER(H368),ISNUMBER(FIND("@",I368))),"OK","CHECK"))</f>
        <v/>
      </c>
    </row>
    <row r="369" customFormat="false" ht="15" hidden="false" customHeight="false" outlineLevel="0" collapsed="false">
      <c r="F369" s="7"/>
      <c r="H369" s="9"/>
      <c r="J369" s="8"/>
      <c r="K369" s="8"/>
      <c r="M369" s="9"/>
      <c r="P369" s="8"/>
      <c r="Q369" s="8"/>
      <c r="U369" s="0" t="str">
        <f aca="false">IF(A369="","",IF(AND(COUNTIF(Students!$A$2:$A$500,B369)=1,COUNTIF($A$2:$A$1000,A369)=1,ISNUMBER(H369),ISNUMBER(FIND("@",I369))),"OK","CHECK"))</f>
        <v/>
      </c>
    </row>
    <row r="370" customFormat="false" ht="15" hidden="false" customHeight="false" outlineLevel="0" collapsed="false">
      <c r="F370" s="7"/>
      <c r="H370" s="9"/>
      <c r="J370" s="8"/>
      <c r="K370" s="8"/>
      <c r="M370" s="9"/>
      <c r="P370" s="8"/>
      <c r="Q370" s="8"/>
      <c r="U370" s="0" t="str">
        <f aca="false">IF(A370="","",IF(AND(COUNTIF(Students!$A$2:$A$500,B370)=1,COUNTIF($A$2:$A$1000,A370)=1,ISNUMBER(H370),ISNUMBER(FIND("@",I370))),"OK","CHECK"))</f>
        <v/>
      </c>
    </row>
    <row r="371" customFormat="false" ht="15" hidden="false" customHeight="false" outlineLevel="0" collapsed="false">
      <c r="F371" s="7"/>
      <c r="H371" s="9"/>
      <c r="J371" s="8"/>
      <c r="K371" s="8"/>
      <c r="M371" s="9"/>
      <c r="P371" s="8"/>
      <c r="Q371" s="8"/>
      <c r="U371" s="0" t="str">
        <f aca="false">IF(A371="","",IF(AND(COUNTIF(Students!$A$2:$A$500,B371)=1,COUNTIF($A$2:$A$1000,A371)=1,ISNUMBER(H371),ISNUMBER(FIND("@",I371))),"OK","CHECK"))</f>
        <v/>
      </c>
    </row>
    <row r="372" customFormat="false" ht="15" hidden="false" customHeight="false" outlineLevel="0" collapsed="false">
      <c r="F372" s="7"/>
      <c r="H372" s="9"/>
      <c r="J372" s="8"/>
      <c r="K372" s="8"/>
      <c r="M372" s="9"/>
      <c r="P372" s="8"/>
      <c r="Q372" s="8"/>
      <c r="U372" s="0" t="str">
        <f aca="false">IF(A372="","",IF(AND(COUNTIF(Students!$A$2:$A$500,B372)=1,COUNTIF($A$2:$A$1000,A372)=1,ISNUMBER(H372),ISNUMBER(FIND("@",I372))),"OK","CHECK"))</f>
        <v/>
      </c>
    </row>
    <row r="373" customFormat="false" ht="15" hidden="false" customHeight="false" outlineLevel="0" collapsed="false">
      <c r="F373" s="7"/>
      <c r="H373" s="9"/>
      <c r="J373" s="8"/>
      <c r="K373" s="8"/>
      <c r="M373" s="9"/>
      <c r="P373" s="8"/>
      <c r="Q373" s="8"/>
      <c r="U373" s="0" t="str">
        <f aca="false">IF(A373="","",IF(AND(COUNTIF(Students!$A$2:$A$500,B373)=1,COUNTIF($A$2:$A$1000,A373)=1,ISNUMBER(H373),ISNUMBER(FIND("@",I373))),"OK","CHECK"))</f>
        <v/>
      </c>
    </row>
    <row r="374" customFormat="false" ht="15" hidden="false" customHeight="false" outlineLevel="0" collapsed="false">
      <c r="F374" s="7"/>
      <c r="H374" s="9"/>
      <c r="J374" s="8"/>
      <c r="K374" s="8"/>
      <c r="M374" s="9"/>
      <c r="P374" s="8"/>
      <c r="Q374" s="8"/>
      <c r="U374" s="0" t="str">
        <f aca="false">IF(A374="","",IF(AND(COUNTIF(Students!$A$2:$A$500,B374)=1,COUNTIF($A$2:$A$1000,A374)=1,ISNUMBER(H374),ISNUMBER(FIND("@",I374))),"OK","CHECK"))</f>
        <v/>
      </c>
    </row>
    <row r="375" customFormat="false" ht="15" hidden="false" customHeight="false" outlineLevel="0" collapsed="false">
      <c r="F375" s="7"/>
      <c r="H375" s="9"/>
      <c r="J375" s="8"/>
      <c r="K375" s="8"/>
      <c r="M375" s="9"/>
      <c r="P375" s="8"/>
      <c r="Q375" s="8"/>
      <c r="U375" s="0" t="str">
        <f aca="false">IF(A375="","",IF(AND(COUNTIF(Students!$A$2:$A$500,B375)=1,COUNTIF($A$2:$A$1000,A375)=1,ISNUMBER(H375),ISNUMBER(FIND("@",I375))),"OK","CHECK"))</f>
        <v/>
      </c>
    </row>
    <row r="376" customFormat="false" ht="15" hidden="false" customHeight="false" outlineLevel="0" collapsed="false">
      <c r="F376" s="7"/>
      <c r="H376" s="9"/>
      <c r="J376" s="8"/>
      <c r="K376" s="8"/>
      <c r="M376" s="9"/>
      <c r="P376" s="8"/>
      <c r="Q376" s="8"/>
      <c r="U376" s="0" t="str">
        <f aca="false">IF(A376="","",IF(AND(COUNTIF(Students!$A$2:$A$500,B376)=1,COUNTIF($A$2:$A$1000,A376)=1,ISNUMBER(H376),ISNUMBER(FIND("@",I376))),"OK","CHECK"))</f>
        <v/>
      </c>
    </row>
    <row r="377" customFormat="false" ht="15" hidden="false" customHeight="false" outlineLevel="0" collapsed="false">
      <c r="F377" s="7"/>
      <c r="H377" s="9"/>
      <c r="J377" s="8"/>
      <c r="K377" s="8"/>
      <c r="M377" s="9"/>
      <c r="P377" s="8"/>
      <c r="Q377" s="8"/>
      <c r="U377" s="0" t="str">
        <f aca="false">IF(A377="","",IF(AND(COUNTIF(Students!$A$2:$A$500,B377)=1,COUNTIF($A$2:$A$1000,A377)=1,ISNUMBER(H377),ISNUMBER(FIND("@",I377))),"OK","CHECK"))</f>
        <v/>
      </c>
    </row>
    <row r="378" customFormat="false" ht="15" hidden="false" customHeight="false" outlineLevel="0" collapsed="false">
      <c r="F378" s="7"/>
      <c r="H378" s="9"/>
      <c r="J378" s="8"/>
      <c r="K378" s="8"/>
      <c r="M378" s="9"/>
      <c r="P378" s="8"/>
      <c r="Q378" s="8"/>
      <c r="U378" s="0" t="str">
        <f aca="false">IF(A378="","",IF(AND(COUNTIF(Students!$A$2:$A$500,B378)=1,COUNTIF($A$2:$A$1000,A378)=1,ISNUMBER(H378),ISNUMBER(FIND("@",I378))),"OK","CHECK"))</f>
        <v/>
      </c>
    </row>
    <row r="379" customFormat="false" ht="15" hidden="false" customHeight="false" outlineLevel="0" collapsed="false">
      <c r="F379" s="7"/>
      <c r="H379" s="9"/>
      <c r="J379" s="8"/>
      <c r="K379" s="8"/>
      <c r="M379" s="9"/>
      <c r="P379" s="8"/>
      <c r="Q379" s="8"/>
      <c r="U379" s="0" t="str">
        <f aca="false">IF(A379="","",IF(AND(COUNTIF(Students!$A$2:$A$500,B379)=1,COUNTIF($A$2:$A$1000,A379)=1,ISNUMBER(H379),ISNUMBER(FIND("@",I379))),"OK","CHECK"))</f>
        <v/>
      </c>
    </row>
    <row r="380" customFormat="false" ht="15" hidden="false" customHeight="false" outlineLevel="0" collapsed="false">
      <c r="F380" s="7"/>
      <c r="H380" s="9"/>
      <c r="J380" s="8"/>
      <c r="K380" s="8"/>
      <c r="M380" s="9"/>
      <c r="P380" s="8"/>
      <c r="Q380" s="8"/>
      <c r="U380" s="0" t="str">
        <f aca="false">IF(A380="","",IF(AND(COUNTIF(Students!$A$2:$A$500,B380)=1,COUNTIF($A$2:$A$1000,A380)=1,ISNUMBER(H380),ISNUMBER(FIND("@",I380))),"OK","CHECK"))</f>
        <v/>
      </c>
    </row>
    <row r="381" customFormat="false" ht="15" hidden="false" customHeight="false" outlineLevel="0" collapsed="false">
      <c r="F381" s="7"/>
      <c r="H381" s="9"/>
      <c r="J381" s="8"/>
      <c r="K381" s="8"/>
      <c r="M381" s="9"/>
      <c r="P381" s="8"/>
      <c r="Q381" s="8"/>
      <c r="U381" s="0" t="str">
        <f aca="false">IF(A381="","",IF(AND(COUNTIF(Students!$A$2:$A$500,B381)=1,COUNTIF($A$2:$A$1000,A381)=1,ISNUMBER(H381),ISNUMBER(FIND("@",I381))),"OK","CHECK"))</f>
        <v/>
      </c>
    </row>
    <row r="382" customFormat="false" ht="15" hidden="false" customHeight="false" outlineLevel="0" collapsed="false">
      <c r="F382" s="7"/>
      <c r="H382" s="9"/>
      <c r="J382" s="8"/>
      <c r="K382" s="8"/>
      <c r="M382" s="9"/>
      <c r="P382" s="8"/>
      <c r="Q382" s="8"/>
      <c r="U382" s="0" t="str">
        <f aca="false">IF(A382="","",IF(AND(COUNTIF(Students!$A$2:$A$500,B382)=1,COUNTIF($A$2:$A$1000,A382)=1,ISNUMBER(H382),ISNUMBER(FIND("@",I382))),"OK","CHECK"))</f>
        <v/>
      </c>
    </row>
    <row r="383" customFormat="false" ht="15" hidden="false" customHeight="false" outlineLevel="0" collapsed="false">
      <c r="F383" s="7"/>
      <c r="H383" s="9"/>
      <c r="J383" s="8"/>
      <c r="K383" s="8"/>
      <c r="M383" s="9"/>
      <c r="P383" s="8"/>
      <c r="Q383" s="8"/>
      <c r="U383" s="0" t="str">
        <f aca="false">IF(A383="","",IF(AND(COUNTIF(Students!$A$2:$A$500,B383)=1,COUNTIF($A$2:$A$1000,A383)=1,ISNUMBER(H383),ISNUMBER(FIND("@",I383))),"OK","CHECK"))</f>
        <v/>
      </c>
    </row>
    <row r="384" customFormat="false" ht="15" hidden="false" customHeight="false" outlineLevel="0" collapsed="false">
      <c r="F384" s="7"/>
      <c r="H384" s="9"/>
      <c r="J384" s="8"/>
      <c r="K384" s="8"/>
      <c r="M384" s="9"/>
      <c r="P384" s="8"/>
      <c r="Q384" s="8"/>
      <c r="U384" s="0" t="str">
        <f aca="false">IF(A384="","",IF(AND(COUNTIF(Students!$A$2:$A$500,B384)=1,COUNTIF($A$2:$A$1000,A384)=1,ISNUMBER(H384),ISNUMBER(FIND("@",I384))),"OK","CHECK"))</f>
        <v/>
      </c>
    </row>
    <row r="385" customFormat="false" ht="15" hidden="false" customHeight="false" outlineLevel="0" collapsed="false">
      <c r="F385" s="7"/>
      <c r="H385" s="9"/>
      <c r="J385" s="8"/>
      <c r="K385" s="8"/>
      <c r="M385" s="9"/>
      <c r="P385" s="8"/>
      <c r="Q385" s="8"/>
      <c r="U385" s="0" t="str">
        <f aca="false">IF(A385="","",IF(AND(COUNTIF(Students!$A$2:$A$500,B385)=1,COUNTIF($A$2:$A$1000,A385)=1,ISNUMBER(H385),ISNUMBER(FIND("@",I385))),"OK","CHECK"))</f>
        <v/>
      </c>
    </row>
    <row r="386" customFormat="false" ht="15" hidden="false" customHeight="false" outlineLevel="0" collapsed="false">
      <c r="F386" s="7"/>
      <c r="H386" s="9"/>
      <c r="J386" s="8"/>
      <c r="K386" s="8"/>
      <c r="M386" s="9"/>
      <c r="P386" s="8"/>
      <c r="Q386" s="8"/>
      <c r="U386" s="0" t="str">
        <f aca="false">IF(A386="","",IF(AND(COUNTIF(Students!$A$2:$A$500,B386)=1,COUNTIF($A$2:$A$1000,A386)=1,ISNUMBER(H386),ISNUMBER(FIND("@",I386))),"OK","CHECK"))</f>
        <v/>
      </c>
    </row>
    <row r="387" customFormat="false" ht="15" hidden="false" customHeight="false" outlineLevel="0" collapsed="false">
      <c r="F387" s="7"/>
      <c r="H387" s="9"/>
      <c r="J387" s="8"/>
      <c r="K387" s="8"/>
      <c r="M387" s="9"/>
      <c r="P387" s="8"/>
      <c r="Q387" s="8"/>
      <c r="U387" s="0" t="str">
        <f aca="false">IF(A387="","",IF(AND(COUNTIF(Students!$A$2:$A$500,B387)=1,COUNTIF($A$2:$A$1000,A387)=1,ISNUMBER(H387),ISNUMBER(FIND("@",I387))),"OK","CHECK"))</f>
        <v/>
      </c>
    </row>
    <row r="388" customFormat="false" ht="15" hidden="false" customHeight="false" outlineLevel="0" collapsed="false">
      <c r="F388" s="7"/>
      <c r="H388" s="9"/>
      <c r="J388" s="8"/>
      <c r="K388" s="8"/>
      <c r="M388" s="9"/>
      <c r="P388" s="8"/>
      <c r="Q388" s="8"/>
      <c r="U388" s="0" t="str">
        <f aca="false">IF(A388="","",IF(AND(COUNTIF(Students!$A$2:$A$500,B388)=1,COUNTIF($A$2:$A$1000,A388)=1,ISNUMBER(H388),ISNUMBER(FIND("@",I388))),"OK","CHECK"))</f>
        <v/>
      </c>
    </row>
    <row r="389" customFormat="false" ht="15" hidden="false" customHeight="false" outlineLevel="0" collapsed="false">
      <c r="F389" s="7"/>
      <c r="H389" s="9"/>
      <c r="J389" s="8"/>
      <c r="K389" s="8"/>
      <c r="M389" s="9"/>
      <c r="P389" s="8"/>
      <c r="Q389" s="8"/>
      <c r="U389" s="0" t="str">
        <f aca="false">IF(A389="","",IF(AND(COUNTIF(Students!$A$2:$A$500,B389)=1,COUNTIF($A$2:$A$1000,A389)=1,ISNUMBER(H389),ISNUMBER(FIND("@",I389))),"OK","CHECK"))</f>
        <v/>
      </c>
    </row>
    <row r="390" customFormat="false" ht="15" hidden="false" customHeight="false" outlineLevel="0" collapsed="false">
      <c r="F390" s="7"/>
      <c r="H390" s="9"/>
      <c r="J390" s="8"/>
      <c r="K390" s="8"/>
      <c r="M390" s="9"/>
      <c r="P390" s="8"/>
      <c r="Q390" s="8"/>
      <c r="U390" s="0" t="str">
        <f aca="false">IF(A390="","",IF(AND(COUNTIF(Students!$A$2:$A$500,B390)=1,COUNTIF($A$2:$A$1000,A390)=1,ISNUMBER(H390),ISNUMBER(FIND("@",I390))),"OK","CHECK"))</f>
        <v/>
      </c>
    </row>
    <row r="391" customFormat="false" ht="15" hidden="false" customHeight="false" outlineLevel="0" collapsed="false">
      <c r="F391" s="7"/>
      <c r="H391" s="9"/>
      <c r="J391" s="8"/>
      <c r="K391" s="8"/>
      <c r="M391" s="9"/>
      <c r="P391" s="8"/>
      <c r="Q391" s="8"/>
      <c r="U391" s="0" t="str">
        <f aca="false">IF(A391="","",IF(AND(COUNTIF(Students!$A$2:$A$500,B391)=1,COUNTIF($A$2:$A$1000,A391)=1,ISNUMBER(H391),ISNUMBER(FIND("@",I391))),"OK","CHECK"))</f>
        <v/>
      </c>
    </row>
    <row r="392" customFormat="false" ht="15" hidden="false" customHeight="false" outlineLevel="0" collapsed="false">
      <c r="F392" s="7"/>
      <c r="H392" s="9"/>
      <c r="J392" s="8"/>
      <c r="K392" s="8"/>
      <c r="M392" s="9"/>
      <c r="P392" s="8"/>
      <c r="Q392" s="8"/>
      <c r="U392" s="0" t="str">
        <f aca="false">IF(A392="","",IF(AND(COUNTIF(Students!$A$2:$A$500,B392)=1,COUNTIF($A$2:$A$1000,A392)=1,ISNUMBER(H392),ISNUMBER(FIND("@",I392))),"OK","CHECK"))</f>
        <v/>
      </c>
    </row>
    <row r="393" customFormat="false" ht="15" hidden="false" customHeight="false" outlineLevel="0" collapsed="false">
      <c r="F393" s="7"/>
      <c r="H393" s="9"/>
      <c r="J393" s="8"/>
      <c r="K393" s="8"/>
      <c r="M393" s="9"/>
      <c r="P393" s="8"/>
      <c r="Q393" s="8"/>
      <c r="U393" s="0" t="str">
        <f aca="false">IF(A393="","",IF(AND(COUNTIF(Students!$A$2:$A$500,B393)=1,COUNTIF($A$2:$A$1000,A393)=1,ISNUMBER(H393),ISNUMBER(FIND("@",I393))),"OK","CHECK"))</f>
        <v/>
      </c>
    </row>
    <row r="394" customFormat="false" ht="15" hidden="false" customHeight="false" outlineLevel="0" collapsed="false">
      <c r="F394" s="7"/>
      <c r="H394" s="9"/>
      <c r="J394" s="8"/>
      <c r="K394" s="8"/>
      <c r="M394" s="9"/>
      <c r="P394" s="8"/>
      <c r="Q394" s="8"/>
      <c r="U394" s="0" t="str">
        <f aca="false">IF(A394="","",IF(AND(COUNTIF(Students!$A$2:$A$500,B394)=1,COUNTIF($A$2:$A$1000,A394)=1,ISNUMBER(H394),ISNUMBER(FIND("@",I394))),"OK","CHECK"))</f>
        <v/>
      </c>
    </row>
    <row r="395" customFormat="false" ht="15" hidden="false" customHeight="false" outlineLevel="0" collapsed="false">
      <c r="F395" s="7"/>
      <c r="H395" s="9"/>
      <c r="J395" s="8"/>
      <c r="K395" s="8"/>
      <c r="M395" s="9"/>
      <c r="P395" s="8"/>
      <c r="Q395" s="8"/>
      <c r="U395" s="0" t="str">
        <f aca="false">IF(A395="","",IF(AND(COUNTIF(Students!$A$2:$A$500,B395)=1,COUNTIF($A$2:$A$1000,A395)=1,ISNUMBER(H395),ISNUMBER(FIND("@",I395))),"OK","CHECK"))</f>
        <v/>
      </c>
    </row>
    <row r="396" customFormat="false" ht="15" hidden="false" customHeight="false" outlineLevel="0" collapsed="false">
      <c r="F396" s="7"/>
      <c r="H396" s="9"/>
      <c r="J396" s="8"/>
      <c r="K396" s="8"/>
      <c r="M396" s="9"/>
      <c r="P396" s="8"/>
      <c r="Q396" s="8"/>
      <c r="U396" s="0" t="str">
        <f aca="false">IF(A396="","",IF(AND(COUNTIF(Students!$A$2:$A$500,B396)=1,COUNTIF($A$2:$A$1000,A396)=1,ISNUMBER(H396),ISNUMBER(FIND("@",I396))),"OK","CHECK"))</f>
        <v/>
      </c>
    </row>
    <row r="397" customFormat="false" ht="15" hidden="false" customHeight="false" outlineLevel="0" collapsed="false">
      <c r="F397" s="7"/>
      <c r="H397" s="9"/>
      <c r="J397" s="8"/>
      <c r="K397" s="8"/>
      <c r="M397" s="9"/>
      <c r="P397" s="8"/>
      <c r="Q397" s="8"/>
      <c r="U397" s="0" t="str">
        <f aca="false">IF(A397="","",IF(AND(COUNTIF(Students!$A$2:$A$500,B397)=1,COUNTIF($A$2:$A$1000,A397)=1,ISNUMBER(H397),ISNUMBER(FIND("@",I397))),"OK","CHECK"))</f>
        <v/>
      </c>
    </row>
    <row r="398" customFormat="false" ht="15" hidden="false" customHeight="false" outlineLevel="0" collapsed="false">
      <c r="F398" s="7"/>
      <c r="H398" s="9"/>
      <c r="J398" s="8"/>
      <c r="K398" s="8"/>
      <c r="M398" s="9"/>
      <c r="P398" s="8"/>
      <c r="Q398" s="8"/>
      <c r="U398" s="0" t="str">
        <f aca="false">IF(A398="","",IF(AND(COUNTIF(Students!$A$2:$A$500,B398)=1,COUNTIF($A$2:$A$1000,A398)=1,ISNUMBER(H398),ISNUMBER(FIND("@",I398))),"OK","CHECK"))</f>
        <v/>
      </c>
    </row>
    <row r="399" customFormat="false" ht="15" hidden="false" customHeight="false" outlineLevel="0" collapsed="false">
      <c r="F399" s="7"/>
      <c r="H399" s="9"/>
      <c r="J399" s="8"/>
      <c r="K399" s="8"/>
      <c r="M399" s="9"/>
      <c r="P399" s="8"/>
      <c r="Q399" s="8"/>
      <c r="U399" s="0" t="str">
        <f aca="false">IF(A399="","",IF(AND(COUNTIF(Students!$A$2:$A$500,B399)=1,COUNTIF($A$2:$A$1000,A399)=1,ISNUMBER(H399),ISNUMBER(FIND("@",I399))),"OK","CHECK"))</f>
        <v/>
      </c>
    </row>
    <row r="400" customFormat="false" ht="15" hidden="false" customHeight="false" outlineLevel="0" collapsed="false">
      <c r="F400" s="7"/>
      <c r="H400" s="9"/>
      <c r="J400" s="8"/>
      <c r="K400" s="8"/>
      <c r="M400" s="9"/>
      <c r="P400" s="8"/>
      <c r="Q400" s="8"/>
      <c r="U400" s="0" t="str">
        <f aca="false">IF(A400="","",IF(AND(COUNTIF(Students!$A$2:$A$500,B400)=1,COUNTIF($A$2:$A$1000,A400)=1,ISNUMBER(H400),ISNUMBER(FIND("@",I400))),"OK","CHECK"))</f>
        <v/>
      </c>
    </row>
    <row r="401" customFormat="false" ht="15" hidden="false" customHeight="false" outlineLevel="0" collapsed="false">
      <c r="F401" s="7"/>
      <c r="H401" s="9"/>
      <c r="J401" s="8"/>
      <c r="K401" s="8"/>
      <c r="M401" s="9"/>
      <c r="P401" s="8"/>
      <c r="Q401" s="8"/>
      <c r="U401" s="0" t="str">
        <f aca="false">IF(A401="","",IF(AND(COUNTIF(Students!$A$2:$A$500,B401)=1,COUNTIF($A$2:$A$1000,A401)=1,ISNUMBER(H401),ISNUMBER(FIND("@",I401))),"OK","CHECK"))</f>
        <v/>
      </c>
    </row>
    <row r="402" customFormat="false" ht="15" hidden="false" customHeight="false" outlineLevel="0" collapsed="false">
      <c r="F402" s="7"/>
      <c r="H402" s="9"/>
      <c r="J402" s="8"/>
      <c r="K402" s="8"/>
      <c r="M402" s="9"/>
      <c r="P402" s="8"/>
      <c r="Q402" s="8"/>
      <c r="U402" s="0" t="str">
        <f aca="false">IF(A402="","",IF(AND(COUNTIF(Students!$A$2:$A$500,B402)=1,COUNTIF($A$2:$A$1000,A402)=1,ISNUMBER(H402),ISNUMBER(FIND("@",I402))),"OK","CHECK"))</f>
        <v/>
      </c>
    </row>
    <row r="403" customFormat="false" ht="15" hidden="false" customHeight="false" outlineLevel="0" collapsed="false">
      <c r="F403" s="7"/>
      <c r="H403" s="9"/>
      <c r="J403" s="8"/>
      <c r="K403" s="8"/>
      <c r="M403" s="9"/>
      <c r="P403" s="8"/>
      <c r="Q403" s="8"/>
      <c r="U403" s="0" t="str">
        <f aca="false">IF(A403="","",IF(AND(COUNTIF(Students!$A$2:$A$500,B403)=1,COUNTIF($A$2:$A$1000,A403)=1,ISNUMBER(H403),ISNUMBER(FIND("@",I403))),"OK","CHECK"))</f>
        <v/>
      </c>
    </row>
    <row r="404" customFormat="false" ht="15" hidden="false" customHeight="false" outlineLevel="0" collapsed="false">
      <c r="F404" s="7"/>
      <c r="H404" s="9"/>
      <c r="J404" s="8"/>
      <c r="K404" s="8"/>
      <c r="M404" s="9"/>
      <c r="P404" s="8"/>
      <c r="Q404" s="8"/>
      <c r="U404" s="0" t="str">
        <f aca="false">IF(A404="","",IF(AND(COUNTIF(Students!$A$2:$A$500,B404)=1,COUNTIF($A$2:$A$1000,A404)=1,ISNUMBER(H404),ISNUMBER(FIND("@",I404))),"OK","CHECK"))</f>
        <v/>
      </c>
    </row>
    <row r="405" customFormat="false" ht="15" hidden="false" customHeight="false" outlineLevel="0" collapsed="false">
      <c r="F405" s="7"/>
      <c r="H405" s="9"/>
      <c r="J405" s="8"/>
      <c r="K405" s="8"/>
      <c r="M405" s="9"/>
      <c r="P405" s="8"/>
      <c r="Q405" s="8"/>
      <c r="U405" s="0" t="str">
        <f aca="false">IF(A405="","",IF(AND(COUNTIF(Students!$A$2:$A$500,B405)=1,COUNTIF($A$2:$A$1000,A405)=1,ISNUMBER(H405),ISNUMBER(FIND("@",I405))),"OK","CHECK"))</f>
        <v/>
      </c>
    </row>
    <row r="406" customFormat="false" ht="15" hidden="false" customHeight="false" outlineLevel="0" collapsed="false">
      <c r="F406" s="7"/>
      <c r="H406" s="9"/>
      <c r="J406" s="8"/>
      <c r="K406" s="8"/>
      <c r="M406" s="9"/>
      <c r="P406" s="8"/>
      <c r="Q406" s="8"/>
      <c r="U406" s="0" t="str">
        <f aca="false">IF(A406="","",IF(AND(COUNTIF(Students!$A$2:$A$500,B406)=1,COUNTIF($A$2:$A$1000,A406)=1,ISNUMBER(H406),ISNUMBER(FIND("@",I406))),"OK","CHECK"))</f>
        <v/>
      </c>
    </row>
    <row r="407" customFormat="false" ht="15" hidden="false" customHeight="false" outlineLevel="0" collapsed="false">
      <c r="F407" s="7"/>
      <c r="H407" s="9"/>
      <c r="J407" s="8"/>
      <c r="K407" s="8"/>
      <c r="M407" s="9"/>
      <c r="P407" s="8"/>
      <c r="Q407" s="8"/>
      <c r="U407" s="0" t="str">
        <f aca="false">IF(A407="","",IF(AND(COUNTIF(Students!$A$2:$A$500,B407)=1,COUNTIF($A$2:$A$1000,A407)=1,ISNUMBER(H407),ISNUMBER(FIND("@",I407))),"OK","CHECK"))</f>
        <v/>
      </c>
    </row>
    <row r="408" customFormat="false" ht="15" hidden="false" customHeight="false" outlineLevel="0" collapsed="false">
      <c r="F408" s="7"/>
      <c r="H408" s="9"/>
      <c r="J408" s="8"/>
      <c r="K408" s="8"/>
      <c r="M408" s="9"/>
      <c r="P408" s="8"/>
      <c r="Q408" s="8"/>
      <c r="U408" s="0" t="str">
        <f aca="false">IF(A408="","",IF(AND(COUNTIF(Students!$A$2:$A$500,B408)=1,COUNTIF($A$2:$A$1000,A408)=1,ISNUMBER(H408),ISNUMBER(FIND("@",I408))),"OK","CHECK"))</f>
        <v/>
      </c>
    </row>
    <row r="409" customFormat="false" ht="15" hidden="false" customHeight="false" outlineLevel="0" collapsed="false">
      <c r="F409" s="7"/>
      <c r="H409" s="9"/>
      <c r="J409" s="8"/>
      <c r="K409" s="8"/>
      <c r="M409" s="9"/>
      <c r="P409" s="8"/>
      <c r="Q409" s="8"/>
      <c r="U409" s="0" t="str">
        <f aca="false">IF(A409="","",IF(AND(COUNTIF(Students!$A$2:$A$500,B409)=1,COUNTIF($A$2:$A$1000,A409)=1,ISNUMBER(H409),ISNUMBER(FIND("@",I409))),"OK","CHECK"))</f>
        <v/>
      </c>
    </row>
    <row r="410" customFormat="false" ht="15" hidden="false" customHeight="false" outlineLevel="0" collapsed="false">
      <c r="F410" s="7"/>
      <c r="H410" s="9"/>
      <c r="J410" s="8"/>
      <c r="K410" s="8"/>
      <c r="M410" s="9"/>
      <c r="P410" s="8"/>
      <c r="Q410" s="8"/>
      <c r="U410" s="0" t="str">
        <f aca="false">IF(A410="","",IF(AND(COUNTIF(Students!$A$2:$A$500,B410)=1,COUNTIF($A$2:$A$1000,A410)=1,ISNUMBER(H410),ISNUMBER(FIND("@",I410))),"OK","CHECK"))</f>
        <v/>
      </c>
    </row>
    <row r="411" customFormat="false" ht="15" hidden="false" customHeight="false" outlineLevel="0" collapsed="false">
      <c r="F411" s="7"/>
      <c r="H411" s="9"/>
      <c r="J411" s="8"/>
      <c r="K411" s="8"/>
      <c r="M411" s="9"/>
      <c r="P411" s="8"/>
      <c r="Q411" s="8"/>
      <c r="U411" s="0" t="str">
        <f aca="false">IF(A411="","",IF(AND(COUNTIF(Students!$A$2:$A$500,B411)=1,COUNTIF($A$2:$A$1000,A411)=1,ISNUMBER(H411),ISNUMBER(FIND("@",I411))),"OK","CHECK"))</f>
        <v/>
      </c>
    </row>
    <row r="412" customFormat="false" ht="15" hidden="false" customHeight="false" outlineLevel="0" collapsed="false">
      <c r="F412" s="7"/>
      <c r="H412" s="9"/>
      <c r="J412" s="8"/>
      <c r="K412" s="8"/>
      <c r="M412" s="9"/>
      <c r="P412" s="8"/>
      <c r="Q412" s="8"/>
      <c r="U412" s="0" t="str">
        <f aca="false">IF(A412="","",IF(AND(COUNTIF(Students!$A$2:$A$500,B412)=1,COUNTIF($A$2:$A$1000,A412)=1,ISNUMBER(H412),ISNUMBER(FIND("@",I412))),"OK","CHECK"))</f>
        <v/>
      </c>
    </row>
    <row r="413" customFormat="false" ht="15" hidden="false" customHeight="false" outlineLevel="0" collapsed="false">
      <c r="F413" s="7"/>
      <c r="H413" s="9"/>
      <c r="J413" s="8"/>
      <c r="K413" s="8"/>
      <c r="M413" s="9"/>
      <c r="P413" s="8"/>
      <c r="Q413" s="8"/>
      <c r="U413" s="0" t="str">
        <f aca="false">IF(A413="","",IF(AND(COUNTIF(Students!$A$2:$A$500,B413)=1,COUNTIF($A$2:$A$1000,A413)=1,ISNUMBER(H413),ISNUMBER(FIND("@",I413))),"OK","CHECK"))</f>
        <v/>
      </c>
    </row>
    <row r="414" customFormat="false" ht="15" hidden="false" customHeight="false" outlineLevel="0" collapsed="false">
      <c r="F414" s="7"/>
      <c r="H414" s="9"/>
      <c r="J414" s="8"/>
      <c r="K414" s="8"/>
      <c r="M414" s="9"/>
      <c r="P414" s="8"/>
      <c r="Q414" s="8"/>
      <c r="U414" s="0" t="str">
        <f aca="false">IF(A414="","",IF(AND(COUNTIF(Students!$A$2:$A$500,B414)=1,COUNTIF($A$2:$A$1000,A414)=1,ISNUMBER(H414),ISNUMBER(FIND("@",I414))),"OK","CHECK"))</f>
        <v/>
      </c>
    </row>
    <row r="415" customFormat="false" ht="15" hidden="false" customHeight="false" outlineLevel="0" collapsed="false">
      <c r="F415" s="7"/>
      <c r="H415" s="9"/>
      <c r="J415" s="8"/>
      <c r="K415" s="8"/>
      <c r="M415" s="9"/>
      <c r="P415" s="8"/>
      <c r="Q415" s="8"/>
      <c r="U415" s="0" t="str">
        <f aca="false">IF(A415="","",IF(AND(COUNTIF(Students!$A$2:$A$500,B415)=1,COUNTIF($A$2:$A$1000,A415)=1,ISNUMBER(H415),ISNUMBER(FIND("@",I415))),"OK","CHECK"))</f>
        <v/>
      </c>
    </row>
    <row r="416" customFormat="false" ht="15" hidden="false" customHeight="false" outlineLevel="0" collapsed="false">
      <c r="F416" s="7"/>
      <c r="H416" s="9"/>
      <c r="J416" s="8"/>
      <c r="K416" s="8"/>
      <c r="M416" s="9"/>
      <c r="P416" s="8"/>
      <c r="Q416" s="8"/>
      <c r="U416" s="0" t="str">
        <f aca="false">IF(A416="","",IF(AND(COUNTIF(Students!$A$2:$A$500,B416)=1,COUNTIF($A$2:$A$1000,A416)=1,ISNUMBER(H416),ISNUMBER(FIND("@",I416))),"OK","CHECK"))</f>
        <v/>
      </c>
    </row>
    <row r="417" customFormat="false" ht="15" hidden="false" customHeight="false" outlineLevel="0" collapsed="false">
      <c r="F417" s="7"/>
      <c r="H417" s="9"/>
      <c r="J417" s="8"/>
      <c r="K417" s="8"/>
      <c r="M417" s="9"/>
      <c r="P417" s="8"/>
      <c r="Q417" s="8"/>
      <c r="U417" s="0" t="str">
        <f aca="false">IF(A417="","",IF(AND(COUNTIF(Students!$A$2:$A$500,B417)=1,COUNTIF($A$2:$A$1000,A417)=1,ISNUMBER(H417),ISNUMBER(FIND("@",I417))),"OK","CHECK"))</f>
        <v/>
      </c>
    </row>
    <row r="418" customFormat="false" ht="15" hidden="false" customHeight="false" outlineLevel="0" collapsed="false">
      <c r="F418" s="7"/>
      <c r="H418" s="9"/>
      <c r="J418" s="8"/>
      <c r="K418" s="8"/>
      <c r="M418" s="9"/>
      <c r="P418" s="8"/>
      <c r="Q418" s="8"/>
      <c r="U418" s="0" t="str">
        <f aca="false">IF(A418="","",IF(AND(COUNTIF(Students!$A$2:$A$500,B418)=1,COUNTIF($A$2:$A$1000,A418)=1,ISNUMBER(H418),ISNUMBER(FIND("@",I418))),"OK","CHECK"))</f>
        <v/>
      </c>
    </row>
    <row r="419" customFormat="false" ht="15" hidden="false" customHeight="false" outlineLevel="0" collapsed="false">
      <c r="F419" s="7"/>
      <c r="H419" s="9"/>
      <c r="J419" s="8"/>
      <c r="K419" s="8"/>
      <c r="M419" s="9"/>
      <c r="P419" s="8"/>
      <c r="Q419" s="8"/>
      <c r="U419" s="0" t="str">
        <f aca="false">IF(A419="","",IF(AND(COUNTIF(Students!$A$2:$A$500,B419)=1,COUNTIF($A$2:$A$1000,A419)=1,ISNUMBER(H419),ISNUMBER(FIND("@",I419))),"OK","CHECK"))</f>
        <v/>
      </c>
    </row>
    <row r="420" customFormat="false" ht="15" hidden="false" customHeight="false" outlineLevel="0" collapsed="false">
      <c r="F420" s="7"/>
      <c r="H420" s="9"/>
      <c r="J420" s="8"/>
      <c r="K420" s="8"/>
      <c r="M420" s="9"/>
      <c r="P420" s="8"/>
      <c r="Q420" s="8"/>
      <c r="U420" s="0" t="str">
        <f aca="false">IF(A420="","",IF(AND(COUNTIF(Students!$A$2:$A$500,B420)=1,COUNTIF($A$2:$A$1000,A420)=1,ISNUMBER(H420),ISNUMBER(FIND("@",I420))),"OK","CHECK"))</f>
        <v/>
      </c>
    </row>
    <row r="421" customFormat="false" ht="15" hidden="false" customHeight="false" outlineLevel="0" collapsed="false">
      <c r="F421" s="7"/>
      <c r="H421" s="9"/>
      <c r="J421" s="8"/>
      <c r="K421" s="8"/>
      <c r="M421" s="9"/>
      <c r="P421" s="8"/>
      <c r="Q421" s="8"/>
      <c r="U421" s="0" t="str">
        <f aca="false">IF(A421="","",IF(AND(COUNTIF(Students!$A$2:$A$500,B421)=1,COUNTIF($A$2:$A$1000,A421)=1,ISNUMBER(H421),ISNUMBER(FIND("@",I421))),"OK","CHECK"))</f>
        <v/>
      </c>
    </row>
    <row r="422" customFormat="false" ht="15" hidden="false" customHeight="false" outlineLevel="0" collapsed="false">
      <c r="F422" s="7"/>
      <c r="H422" s="9"/>
      <c r="J422" s="8"/>
      <c r="K422" s="8"/>
      <c r="M422" s="9"/>
      <c r="P422" s="8"/>
      <c r="Q422" s="8"/>
      <c r="U422" s="0" t="str">
        <f aca="false">IF(A422="","",IF(AND(COUNTIF(Students!$A$2:$A$500,B422)=1,COUNTIF($A$2:$A$1000,A422)=1,ISNUMBER(H422),ISNUMBER(FIND("@",I422))),"OK","CHECK"))</f>
        <v/>
      </c>
    </row>
    <row r="423" customFormat="false" ht="15" hidden="false" customHeight="false" outlineLevel="0" collapsed="false">
      <c r="F423" s="7"/>
      <c r="H423" s="9"/>
      <c r="J423" s="8"/>
      <c r="K423" s="8"/>
      <c r="M423" s="9"/>
      <c r="P423" s="8"/>
      <c r="Q423" s="8"/>
      <c r="U423" s="0" t="str">
        <f aca="false">IF(A423="","",IF(AND(COUNTIF(Students!$A$2:$A$500,B423)=1,COUNTIF($A$2:$A$1000,A423)=1,ISNUMBER(H423),ISNUMBER(FIND("@",I423))),"OK","CHECK"))</f>
        <v/>
      </c>
    </row>
    <row r="424" customFormat="false" ht="15" hidden="false" customHeight="false" outlineLevel="0" collapsed="false">
      <c r="F424" s="7"/>
      <c r="H424" s="9"/>
      <c r="J424" s="8"/>
      <c r="K424" s="8"/>
      <c r="M424" s="9"/>
      <c r="P424" s="8"/>
      <c r="Q424" s="8"/>
      <c r="U424" s="0" t="str">
        <f aca="false">IF(A424="","",IF(AND(COUNTIF(Students!$A$2:$A$500,B424)=1,COUNTIF($A$2:$A$1000,A424)=1,ISNUMBER(H424),ISNUMBER(FIND("@",I424))),"OK","CHECK"))</f>
        <v/>
      </c>
    </row>
    <row r="425" customFormat="false" ht="15" hidden="false" customHeight="false" outlineLevel="0" collapsed="false">
      <c r="F425" s="7"/>
      <c r="H425" s="9"/>
      <c r="J425" s="8"/>
      <c r="K425" s="8"/>
      <c r="M425" s="9"/>
      <c r="P425" s="8"/>
      <c r="Q425" s="8"/>
      <c r="U425" s="0" t="str">
        <f aca="false">IF(A425="","",IF(AND(COUNTIF(Students!$A$2:$A$500,B425)=1,COUNTIF($A$2:$A$1000,A425)=1,ISNUMBER(H425),ISNUMBER(FIND("@",I425))),"OK","CHECK"))</f>
        <v/>
      </c>
    </row>
    <row r="426" customFormat="false" ht="15" hidden="false" customHeight="false" outlineLevel="0" collapsed="false">
      <c r="F426" s="7"/>
      <c r="H426" s="9"/>
      <c r="J426" s="8"/>
      <c r="K426" s="8"/>
      <c r="M426" s="9"/>
      <c r="P426" s="8"/>
      <c r="Q426" s="8"/>
      <c r="U426" s="0" t="str">
        <f aca="false">IF(A426="","",IF(AND(COUNTIF(Students!$A$2:$A$500,B426)=1,COUNTIF($A$2:$A$1000,A426)=1,ISNUMBER(H426),ISNUMBER(FIND("@",I426))),"OK","CHECK"))</f>
        <v/>
      </c>
    </row>
    <row r="427" customFormat="false" ht="15" hidden="false" customHeight="false" outlineLevel="0" collapsed="false">
      <c r="F427" s="7"/>
      <c r="H427" s="9"/>
      <c r="J427" s="8"/>
      <c r="K427" s="8"/>
      <c r="M427" s="9"/>
      <c r="P427" s="8"/>
      <c r="Q427" s="8"/>
      <c r="U427" s="0" t="str">
        <f aca="false">IF(A427="","",IF(AND(COUNTIF(Students!$A$2:$A$500,B427)=1,COUNTIF($A$2:$A$1000,A427)=1,ISNUMBER(H427),ISNUMBER(FIND("@",I427))),"OK","CHECK"))</f>
        <v/>
      </c>
    </row>
    <row r="428" customFormat="false" ht="15" hidden="false" customHeight="false" outlineLevel="0" collapsed="false">
      <c r="F428" s="7"/>
      <c r="H428" s="9"/>
      <c r="J428" s="8"/>
      <c r="K428" s="8"/>
      <c r="M428" s="9"/>
      <c r="P428" s="8"/>
      <c r="Q428" s="8"/>
      <c r="U428" s="0" t="str">
        <f aca="false">IF(A428="","",IF(AND(COUNTIF(Students!$A$2:$A$500,B428)=1,COUNTIF($A$2:$A$1000,A428)=1,ISNUMBER(H428),ISNUMBER(FIND("@",I428))),"OK","CHECK"))</f>
        <v/>
      </c>
    </row>
    <row r="429" customFormat="false" ht="15" hidden="false" customHeight="false" outlineLevel="0" collapsed="false">
      <c r="F429" s="7"/>
      <c r="H429" s="9"/>
      <c r="J429" s="8"/>
      <c r="K429" s="8"/>
      <c r="M429" s="9"/>
      <c r="P429" s="8"/>
      <c r="Q429" s="8"/>
      <c r="U429" s="0" t="str">
        <f aca="false">IF(A429="","",IF(AND(COUNTIF(Students!$A$2:$A$500,B429)=1,COUNTIF($A$2:$A$1000,A429)=1,ISNUMBER(H429),ISNUMBER(FIND("@",I429))),"OK","CHECK"))</f>
        <v/>
      </c>
    </row>
    <row r="430" customFormat="false" ht="15" hidden="false" customHeight="false" outlineLevel="0" collapsed="false">
      <c r="F430" s="7"/>
      <c r="H430" s="9"/>
      <c r="J430" s="8"/>
      <c r="K430" s="8"/>
      <c r="M430" s="9"/>
      <c r="P430" s="8"/>
      <c r="Q430" s="8"/>
      <c r="U430" s="0" t="str">
        <f aca="false">IF(A430="","",IF(AND(COUNTIF(Students!$A$2:$A$500,B430)=1,COUNTIF($A$2:$A$1000,A430)=1,ISNUMBER(H430),ISNUMBER(FIND("@",I430))),"OK","CHECK"))</f>
        <v/>
      </c>
    </row>
    <row r="431" customFormat="false" ht="15" hidden="false" customHeight="false" outlineLevel="0" collapsed="false">
      <c r="F431" s="7"/>
      <c r="H431" s="9"/>
      <c r="J431" s="8"/>
      <c r="K431" s="8"/>
      <c r="M431" s="9"/>
      <c r="P431" s="8"/>
      <c r="Q431" s="8"/>
      <c r="U431" s="0" t="str">
        <f aca="false">IF(A431="","",IF(AND(COUNTIF(Students!$A$2:$A$500,B431)=1,COUNTIF($A$2:$A$1000,A431)=1,ISNUMBER(H431),ISNUMBER(FIND("@",I431))),"OK","CHECK"))</f>
        <v/>
      </c>
    </row>
    <row r="432" customFormat="false" ht="15" hidden="false" customHeight="false" outlineLevel="0" collapsed="false">
      <c r="F432" s="7"/>
      <c r="H432" s="9"/>
      <c r="J432" s="8"/>
      <c r="K432" s="8"/>
      <c r="M432" s="9"/>
      <c r="P432" s="8"/>
      <c r="Q432" s="8"/>
      <c r="U432" s="0" t="str">
        <f aca="false">IF(A432="","",IF(AND(COUNTIF(Students!$A$2:$A$500,B432)=1,COUNTIF($A$2:$A$1000,A432)=1,ISNUMBER(H432),ISNUMBER(FIND("@",I432))),"OK","CHECK"))</f>
        <v/>
      </c>
    </row>
    <row r="433" customFormat="false" ht="15" hidden="false" customHeight="false" outlineLevel="0" collapsed="false">
      <c r="F433" s="7"/>
      <c r="H433" s="9"/>
      <c r="J433" s="8"/>
      <c r="K433" s="8"/>
      <c r="M433" s="9"/>
      <c r="P433" s="8"/>
      <c r="Q433" s="8"/>
      <c r="U433" s="0" t="str">
        <f aca="false">IF(A433="","",IF(AND(COUNTIF(Students!$A$2:$A$500,B433)=1,COUNTIF($A$2:$A$1000,A433)=1,ISNUMBER(H433),ISNUMBER(FIND("@",I433))),"OK","CHECK"))</f>
        <v/>
      </c>
    </row>
    <row r="434" customFormat="false" ht="15" hidden="false" customHeight="false" outlineLevel="0" collapsed="false">
      <c r="F434" s="7"/>
      <c r="H434" s="9"/>
      <c r="J434" s="8"/>
      <c r="K434" s="8"/>
      <c r="M434" s="9"/>
      <c r="P434" s="8"/>
      <c r="Q434" s="8"/>
      <c r="U434" s="0" t="str">
        <f aca="false">IF(A434="","",IF(AND(COUNTIF(Students!$A$2:$A$500,B434)=1,COUNTIF($A$2:$A$1000,A434)=1,ISNUMBER(H434),ISNUMBER(FIND("@",I434))),"OK","CHECK"))</f>
        <v/>
      </c>
    </row>
    <row r="435" customFormat="false" ht="15" hidden="false" customHeight="false" outlineLevel="0" collapsed="false">
      <c r="F435" s="7"/>
      <c r="H435" s="9"/>
      <c r="J435" s="8"/>
      <c r="K435" s="8"/>
      <c r="M435" s="9"/>
      <c r="P435" s="8"/>
      <c r="Q435" s="8"/>
      <c r="U435" s="0" t="str">
        <f aca="false">IF(A435="","",IF(AND(COUNTIF(Students!$A$2:$A$500,B435)=1,COUNTIF($A$2:$A$1000,A435)=1,ISNUMBER(H435),ISNUMBER(FIND("@",I435))),"OK","CHECK"))</f>
        <v/>
      </c>
    </row>
    <row r="436" customFormat="false" ht="15" hidden="false" customHeight="false" outlineLevel="0" collapsed="false">
      <c r="F436" s="7"/>
      <c r="H436" s="9"/>
      <c r="J436" s="8"/>
      <c r="K436" s="8"/>
      <c r="M436" s="9"/>
      <c r="P436" s="8"/>
      <c r="Q436" s="8"/>
      <c r="U436" s="0" t="str">
        <f aca="false">IF(A436="","",IF(AND(COUNTIF(Students!$A$2:$A$500,B436)=1,COUNTIF($A$2:$A$1000,A436)=1,ISNUMBER(H436),ISNUMBER(FIND("@",I436))),"OK","CHECK"))</f>
        <v/>
      </c>
    </row>
    <row r="437" customFormat="false" ht="15" hidden="false" customHeight="false" outlineLevel="0" collapsed="false">
      <c r="F437" s="7"/>
      <c r="H437" s="9"/>
      <c r="J437" s="8"/>
      <c r="K437" s="8"/>
      <c r="M437" s="9"/>
      <c r="P437" s="8"/>
      <c r="Q437" s="8"/>
      <c r="U437" s="0" t="str">
        <f aca="false">IF(A437="","",IF(AND(COUNTIF(Students!$A$2:$A$500,B437)=1,COUNTIF($A$2:$A$1000,A437)=1,ISNUMBER(H437),ISNUMBER(FIND("@",I437))),"OK","CHECK"))</f>
        <v/>
      </c>
    </row>
    <row r="438" customFormat="false" ht="15" hidden="false" customHeight="false" outlineLevel="0" collapsed="false">
      <c r="F438" s="7"/>
      <c r="H438" s="9"/>
      <c r="J438" s="8"/>
      <c r="K438" s="8"/>
      <c r="M438" s="9"/>
      <c r="P438" s="8"/>
      <c r="Q438" s="8"/>
      <c r="U438" s="0" t="str">
        <f aca="false">IF(A438="","",IF(AND(COUNTIF(Students!$A$2:$A$500,B438)=1,COUNTIF($A$2:$A$1000,A438)=1,ISNUMBER(H438),ISNUMBER(FIND("@",I438))),"OK","CHECK"))</f>
        <v/>
      </c>
    </row>
    <row r="439" customFormat="false" ht="15" hidden="false" customHeight="false" outlineLevel="0" collapsed="false">
      <c r="F439" s="7"/>
      <c r="H439" s="9"/>
      <c r="J439" s="8"/>
      <c r="K439" s="8"/>
      <c r="M439" s="9"/>
      <c r="P439" s="8"/>
      <c r="Q439" s="8"/>
      <c r="U439" s="0" t="str">
        <f aca="false">IF(A439="","",IF(AND(COUNTIF(Students!$A$2:$A$500,B439)=1,COUNTIF($A$2:$A$1000,A439)=1,ISNUMBER(H439),ISNUMBER(FIND("@",I439))),"OK","CHECK"))</f>
        <v/>
      </c>
    </row>
    <row r="440" customFormat="false" ht="15" hidden="false" customHeight="false" outlineLevel="0" collapsed="false">
      <c r="F440" s="7"/>
      <c r="H440" s="9"/>
      <c r="J440" s="8"/>
      <c r="K440" s="8"/>
      <c r="M440" s="9"/>
      <c r="P440" s="8"/>
      <c r="Q440" s="8"/>
      <c r="U440" s="0" t="str">
        <f aca="false">IF(A440="","",IF(AND(COUNTIF(Students!$A$2:$A$500,B440)=1,COUNTIF($A$2:$A$1000,A440)=1,ISNUMBER(H440),ISNUMBER(FIND("@",I440))),"OK","CHECK"))</f>
        <v/>
      </c>
    </row>
    <row r="441" customFormat="false" ht="15" hidden="false" customHeight="false" outlineLevel="0" collapsed="false">
      <c r="F441" s="7"/>
      <c r="H441" s="9"/>
      <c r="J441" s="8"/>
      <c r="K441" s="8"/>
      <c r="M441" s="9"/>
      <c r="P441" s="8"/>
      <c r="Q441" s="8"/>
      <c r="U441" s="0" t="str">
        <f aca="false">IF(A441="","",IF(AND(COUNTIF(Students!$A$2:$A$500,B441)=1,COUNTIF($A$2:$A$1000,A441)=1,ISNUMBER(H441),ISNUMBER(FIND("@",I441))),"OK","CHECK"))</f>
        <v/>
      </c>
    </row>
    <row r="442" customFormat="false" ht="15" hidden="false" customHeight="false" outlineLevel="0" collapsed="false">
      <c r="F442" s="7"/>
      <c r="H442" s="9"/>
      <c r="J442" s="8"/>
      <c r="K442" s="8"/>
      <c r="M442" s="9"/>
      <c r="P442" s="8"/>
      <c r="Q442" s="8"/>
      <c r="U442" s="0" t="str">
        <f aca="false">IF(A442="","",IF(AND(COUNTIF(Students!$A$2:$A$500,B442)=1,COUNTIF($A$2:$A$1000,A442)=1,ISNUMBER(H442),ISNUMBER(FIND("@",I442))),"OK","CHECK"))</f>
        <v/>
      </c>
    </row>
    <row r="443" customFormat="false" ht="15" hidden="false" customHeight="false" outlineLevel="0" collapsed="false">
      <c r="F443" s="7"/>
      <c r="H443" s="9"/>
      <c r="J443" s="8"/>
      <c r="K443" s="8"/>
      <c r="M443" s="9"/>
      <c r="P443" s="8"/>
      <c r="Q443" s="8"/>
      <c r="U443" s="0" t="str">
        <f aca="false">IF(A443="","",IF(AND(COUNTIF(Students!$A$2:$A$500,B443)=1,COUNTIF($A$2:$A$1000,A443)=1,ISNUMBER(H443),ISNUMBER(FIND("@",I443))),"OK","CHECK"))</f>
        <v/>
      </c>
    </row>
    <row r="444" customFormat="false" ht="15" hidden="false" customHeight="false" outlineLevel="0" collapsed="false">
      <c r="F444" s="7"/>
      <c r="H444" s="9"/>
      <c r="J444" s="8"/>
      <c r="K444" s="8"/>
      <c r="M444" s="9"/>
      <c r="P444" s="8"/>
      <c r="Q444" s="8"/>
      <c r="U444" s="0" t="str">
        <f aca="false">IF(A444="","",IF(AND(COUNTIF(Students!$A$2:$A$500,B444)=1,COUNTIF($A$2:$A$1000,A444)=1,ISNUMBER(H444),ISNUMBER(FIND("@",I444))),"OK","CHECK"))</f>
        <v/>
      </c>
    </row>
    <row r="445" customFormat="false" ht="15" hidden="false" customHeight="false" outlineLevel="0" collapsed="false">
      <c r="F445" s="7"/>
      <c r="H445" s="9"/>
      <c r="J445" s="8"/>
      <c r="K445" s="8"/>
      <c r="M445" s="9"/>
      <c r="P445" s="8"/>
      <c r="Q445" s="8"/>
      <c r="U445" s="0" t="str">
        <f aca="false">IF(A445="","",IF(AND(COUNTIF(Students!$A$2:$A$500,B445)=1,COUNTIF($A$2:$A$1000,A445)=1,ISNUMBER(H445),ISNUMBER(FIND("@",I445))),"OK","CHECK"))</f>
        <v/>
      </c>
    </row>
    <row r="446" customFormat="false" ht="15" hidden="false" customHeight="false" outlineLevel="0" collapsed="false">
      <c r="F446" s="7"/>
      <c r="H446" s="9"/>
      <c r="J446" s="8"/>
      <c r="K446" s="8"/>
      <c r="M446" s="9"/>
      <c r="P446" s="8"/>
      <c r="Q446" s="8"/>
      <c r="U446" s="0" t="str">
        <f aca="false">IF(A446="","",IF(AND(COUNTIF(Students!$A$2:$A$500,B446)=1,COUNTIF($A$2:$A$1000,A446)=1,ISNUMBER(H446),ISNUMBER(FIND("@",I446))),"OK","CHECK"))</f>
        <v/>
      </c>
    </row>
    <row r="447" customFormat="false" ht="15" hidden="false" customHeight="false" outlineLevel="0" collapsed="false">
      <c r="F447" s="7"/>
      <c r="H447" s="9"/>
      <c r="J447" s="8"/>
      <c r="K447" s="8"/>
      <c r="M447" s="9"/>
      <c r="P447" s="8"/>
      <c r="Q447" s="8"/>
      <c r="U447" s="0" t="str">
        <f aca="false">IF(A447="","",IF(AND(COUNTIF(Students!$A$2:$A$500,B447)=1,COUNTIF($A$2:$A$1000,A447)=1,ISNUMBER(H447),ISNUMBER(FIND("@",I447))),"OK","CHECK"))</f>
        <v/>
      </c>
    </row>
    <row r="448" customFormat="false" ht="15" hidden="false" customHeight="false" outlineLevel="0" collapsed="false">
      <c r="F448" s="7"/>
      <c r="H448" s="9"/>
      <c r="J448" s="8"/>
      <c r="K448" s="8"/>
      <c r="M448" s="9"/>
      <c r="P448" s="8"/>
      <c r="Q448" s="8"/>
      <c r="U448" s="0" t="str">
        <f aca="false">IF(A448="","",IF(AND(COUNTIF(Students!$A$2:$A$500,B448)=1,COUNTIF($A$2:$A$1000,A448)=1,ISNUMBER(H448),ISNUMBER(FIND("@",I448))),"OK","CHECK"))</f>
        <v/>
      </c>
    </row>
    <row r="449" customFormat="false" ht="15" hidden="false" customHeight="false" outlineLevel="0" collapsed="false">
      <c r="F449" s="7"/>
      <c r="H449" s="9"/>
      <c r="J449" s="8"/>
      <c r="K449" s="8"/>
      <c r="M449" s="9"/>
      <c r="P449" s="8"/>
      <c r="Q449" s="8"/>
      <c r="U449" s="0" t="str">
        <f aca="false">IF(A449="","",IF(AND(COUNTIF(Students!$A$2:$A$500,B449)=1,COUNTIF($A$2:$A$1000,A449)=1,ISNUMBER(H449),ISNUMBER(FIND("@",I449))),"OK","CHECK"))</f>
        <v/>
      </c>
    </row>
    <row r="450" customFormat="false" ht="15" hidden="false" customHeight="false" outlineLevel="0" collapsed="false">
      <c r="F450" s="7"/>
      <c r="H450" s="9"/>
      <c r="J450" s="8"/>
      <c r="K450" s="8"/>
      <c r="M450" s="9"/>
      <c r="P450" s="8"/>
      <c r="Q450" s="8"/>
      <c r="U450" s="0" t="str">
        <f aca="false">IF(A450="","",IF(AND(COUNTIF(Students!$A$2:$A$500,B450)=1,COUNTIF($A$2:$A$1000,A450)=1,ISNUMBER(H450),ISNUMBER(FIND("@",I450))),"OK","CHECK"))</f>
        <v/>
      </c>
    </row>
    <row r="451" customFormat="false" ht="15" hidden="false" customHeight="false" outlineLevel="0" collapsed="false">
      <c r="F451" s="7"/>
      <c r="H451" s="9"/>
      <c r="J451" s="8"/>
      <c r="K451" s="8"/>
      <c r="M451" s="9"/>
      <c r="P451" s="8"/>
      <c r="Q451" s="8"/>
      <c r="U451" s="0" t="str">
        <f aca="false">IF(A451="","",IF(AND(COUNTIF(Students!$A$2:$A$500,B451)=1,COUNTIF($A$2:$A$1000,A451)=1,ISNUMBER(H451),ISNUMBER(FIND("@",I451))),"OK","CHECK"))</f>
        <v/>
      </c>
    </row>
    <row r="452" customFormat="false" ht="15" hidden="false" customHeight="false" outlineLevel="0" collapsed="false">
      <c r="F452" s="7"/>
      <c r="H452" s="9"/>
      <c r="J452" s="8"/>
      <c r="K452" s="8"/>
      <c r="M452" s="9"/>
      <c r="P452" s="8"/>
      <c r="Q452" s="8"/>
      <c r="U452" s="0" t="str">
        <f aca="false">IF(A452="","",IF(AND(COUNTIF(Students!$A$2:$A$500,B452)=1,COUNTIF($A$2:$A$1000,A452)=1,ISNUMBER(H452),ISNUMBER(FIND("@",I452))),"OK","CHECK"))</f>
        <v/>
      </c>
    </row>
    <row r="453" customFormat="false" ht="15" hidden="false" customHeight="false" outlineLevel="0" collapsed="false">
      <c r="F453" s="7"/>
      <c r="H453" s="9"/>
      <c r="J453" s="8"/>
      <c r="K453" s="8"/>
      <c r="M453" s="9"/>
      <c r="P453" s="8"/>
      <c r="Q453" s="8"/>
      <c r="U453" s="0" t="str">
        <f aca="false">IF(A453="","",IF(AND(COUNTIF(Students!$A$2:$A$500,B453)=1,COUNTIF($A$2:$A$1000,A453)=1,ISNUMBER(H453),ISNUMBER(FIND("@",I453))),"OK","CHECK"))</f>
        <v/>
      </c>
    </row>
    <row r="454" customFormat="false" ht="15" hidden="false" customHeight="false" outlineLevel="0" collapsed="false">
      <c r="F454" s="7"/>
      <c r="H454" s="9"/>
      <c r="J454" s="8"/>
      <c r="K454" s="8"/>
      <c r="M454" s="9"/>
      <c r="P454" s="8"/>
      <c r="Q454" s="8"/>
      <c r="U454" s="0" t="str">
        <f aca="false">IF(A454="","",IF(AND(COUNTIF(Students!$A$2:$A$500,B454)=1,COUNTIF($A$2:$A$1000,A454)=1,ISNUMBER(H454),ISNUMBER(FIND("@",I454))),"OK","CHECK"))</f>
        <v/>
      </c>
    </row>
    <row r="455" customFormat="false" ht="15" hidden="false" customHeight="false" outlineLevel="0" collapsed="false">
      <c r="F455" s="7"/>
      <c r="H455" s="9"/>
      <c r="J455" s="8"/>
      <c r="K455" s="8"/>
      <c r="M455" s="9"/>
      <c r="P455" s="8"/>
      <c r="Q455" s="8"/>
      <c r="U455" s="0" t="str">
        <f aca="false">IF(A455="","",IF(AND(COUNTIF(Students!$A$2:$A$500,B455)=1,COUNTIF($A$2:$A$1000,A455)=1,ISNUMBER(H455),ISNUMBER(FIND("@",I455))),"OK","CHECK"))</f>
        <v/>
      </c>
    </row>
    <row r="456" customFormat="false" ht="15" hidden="false" customHeight="false" outlineLevel="0" collapsed="false">
      <c r="F456" s="7"/>
      <c r="H456" s="9"/>
      <c r="J456" s="8"/>
      <c r="K456" s="8"/>
      <c r="M456" s="9"/>
      <c r="P456" s="8"/>
      <c r="Q456" s="8"/>
      <c r="U456" s="0" t="str">
        <f aca="false">IF(A456="","",IF(AND(COUNTIF(Students!$A$2:$A$500,B456)=1,COUNTIF($A$2:$A$1000,A456)=1,ISNUMBER(H456),ISNUMBER(FIND("@",I456))),"OK","CHECK"))</f>
        <v/>
      </c>
    </row>
    <row r="457" customFormat="false" ht="15" hidden="false" customHeight="false" outlineLevel="0" collapsed="false">
      <c r="F457" s="7"/>
      <c r="H457" s="9"/>
      <c r="J457" s="8"/>
      <c r="K457" s="8"/>
      <c r="M457" s="9"/>
      <c r="P457" s="8"/>
      <c r="Q457" s="8"/>
      <c r="U457" s="0" t="str">
        <f aca="false">IF(A457="","",IF(AND(COUNTIF(Students!$A$2:$A$500,B457)=1,COUNTIF($A$2:$A$1000,A457)=1,ISNUMBER(H457),ISNUMBER(FIND("@",I457))),"OK","CHECK"))</f>
        <v/>
      </c>
    </row>
    <row r="458" customFormat="false" ht="15" hidden="false" customHeight="false" outlineLevel="0" collapsed="false">
      <c r="F458" s="7"/>
      <c r="H458" s="9"/>
      <c r="J458" s="8"/>
      <c r="K458" s="8"/>
      <c r="M458" s="9"/>
      <c r="P458" s="8"/>
      <c r="Q458" s="8"/>
      <c r="U458" s="0" t="str">
        <f aca="false">IF(A458="","",IF(AND(COUNTIF(Students!$A$2:$A$500,B458)=1,COUNTIF($A$2:$A$1000,A458)=1,ISNUMBER(H458),ISNUMBER(FIND("@",I458))),"OK","CHECK"))</f>
        <v/>
      </c>
    </row>
    <row r="459" customFormat="false" ht="15" hidden="false" customHeight="false" outlineLevel="0" collapsed="false">
      <c r="F459" s="7"/>
      <c r="H459" s="9"/>
      <c r="J459" s="8"/>
      <c r="K459" s="8"/>
      <c r="M459" s="9"/>
      <c r="P459" s="8"/>
      <c r="Q459" s="8"/>
      <c r="U459" s="0" t="str">
        <f aca="false">IF(A459="","",IF(AND(COUNTIF(Students!$A$2:$A$500,B459)=1,COUNTIF($A$2:$A$1000,A459)=1,ISNUMBER(H459),ISNUMBER(FIND("@",I459))),"OK","CHECK"))</f>
        <v/>
      </c>
    </row>
    <row r="460" customFormat="false" ht="15" hidden="false" customHeight="false" outlineLevel="0" collapsed="false">
      <c r="F460" s="7"/>
      <c r="H460" s="9"/>
      <c r="J460" s="8"/>
      <c r="K460" s="8"/>
      <c r="M460" s="9"/>
      <c r="P460" s="8"/>
      <c r="Q460" s="8"/>
      <c r="U460" s="0" t="str">
        <f aca="false">IF(A460="","",IF(AND(COUNTIF(Students!$A$2:$A$500,B460)=1,COUNTIF($A$2:$A$1000,A460)=1,ISNUMBER(H460),ISNUMBER(FIND("@",I460))),"OK","CHECK"))</f>
        <v/>
      </c>
    </row>
    <row r="461" customFormat="false" ht="15" hidden="false" customHeight="false" outlineLevel="0" collapsed="false">
      <c r="F461" s="7"/>
      <c r="H461" s="9"/>
      <c r="J461" s="8"/>
      <c r="K461" s="8"/>
      <c r="M461" s="9"/>
      <c r="P461" s="8"/>
      <c r="Q461" s="8"/>
      <c r="U461" s="0" t="str">
        <f aca="false">IF(A461="","",IF(AND(COUNTIF(Students!$A$2:$A$500,B461)=1,COUNTIF($A$2:$A$1000,A461)=1,ISNUMBER(H461),ISNUMBER(FIND("@",I461))),"OK","CHECK"))</f>
        <v/>
      </c>
    </row>
    <row r="462" customFormat="false" ht="15" hidden="false" customHeight="false" outlineLevel="0" collapsed="false">
      <c r="F462" s="7"/>
      <c r="H462" s="9"/>
      <c r="J462" s="8"/>
      <c r="K462" s="8"/>
      <c r="M462" s="9"/>
      <c r="P462" s="8"/>
      <c r="Q462" s="8"/>
      <c r="U462" s="0" t="str">
        <f aca="false">IF(A462="","",IF(AND(COUNTIF(Students!$A$2:$A$500,B462)=1,COUNTIF($A$2:$A$1000,A462)=1,ISNUMBER(H462),ISNUMBER(FIND("@",I462))),"OK","CHECK"))</f>
        <v/>
      </c>
    </row>
    <row r="463" customFormat="false" ht="15" hidden="false" customHeight="false" outlineLevel="0" collapsed="false">
      <c r="F463" s="7"/>
      <c r="H463" s="9"/>
      <c r="J463" s="8"/>
      <c r="K463" s="8"/>
      <c r="M463" s="9"/>
      <c r="P463" s="8"/>
      <c r="Q463" s="8"/>
      <c r="U463" s="0" t="str">
        <f aca="false">IF(A463="","",IF(AND(COUNTIF(Students!$A$2:$A$500,B463)=1,COUNTIF($A$2:$A$1000,A463)=1,ISNUMBER(H463),ISNUMBER(FIND("@",I463))),"OK","CHECK"))</f>
        <v/>
      </c>
    </row>
    <row r="464" customFormat="false" ht="15" hidden="false" customHeight="false" outlineLevel="0" collapsed="false">
      <c r="F464" s="7"/>
      <c r="H464" s="9"/>
      <c r="J464" s="8"/>
      <c r="K464" s="8"/>
      <c r="M464" s="9"/>
      <c r="P464" s="8"/>
      <c r="Q464" s="8"/>
      <c r="U464" s="0" t="str">
        <f aca="false">IF(A464="","",IF(AND(COUNTIF(Students!$A$2:$A$500,B464)=1,COUNTIF($A$2:$A$1000,A464)=1,ISNUMBER(H464),ISNUMBER(FIND("@",I464))),"OK","CHECK"))</f>
        <v/>
      </c>
    </row>
    <row r="465" customFormat="false" ht="15" hidden="false" customHeight="false" outlineLevel="0" collapsed="false">
      <c r="F465" s="7"/>
      <c r="H465" s="9"/>
      <c r="J465" s="8"/>
      <c r="K465" s="8"/>
      <c r="M465" s="9"/>
      <c r="P465" s="8"/>
      <c r="Q465" s="8"/>
      <c r="U465" s="0" t="str">
        <f aca="false">IF(A465="","",IF(AND(COUNTIF(Students!$A$2:$A$500,B465)=1,COUNTIF($A$2:$A$1000,A465)=1,ISNUMBER(H465),ISNUMBER(FIND("@",I465))),"OK","CHECK"))</f>
        <v/>
      </c>
    </row>
    <row r="466" customFormat="false" ht="15" hidden="false" customHeight="false" outlineLevel="0" collapsed="false">
      <c r="F466" s="7"/>
      <c r="H466" s="9"/>
      <c r="J466" s="8"/>
      <c r="K466" s="8"/>
      <c r="M466" s="9"/>
      <c r="P466" s="8"/>
      <c r="Q466" s="8"/>
      <c r="U466" s="0" t="str">
        <f aca="false">IF(A466="","",IF(AND(COUNTIF(Students!$A$2:$A$500,B466)=1,COUNTIF($A$2:$A$1000,A466)=1,ISNUMBER(H466),ISNUMBER(FIND("@",I466))),"OK","CHECK"))</f>
        <v/>
      </c>
    </row>
    <row r="467" customFormat="false" ht="15" hidden="false" customHeight="false" outlineLevel="0" collapsed="false">
      <c r="F467" s="7"/>
      <c r="H467" s="9"/>
      <c r="J467" s="8"/>
      <c r="K467" s="8"/>
      <c r="M467" s="9"/>
      <c r="P467" s="8"/>
      <c r="Q467" s="8"/>
      <c r="U467" s="0" t="str">
        <f aca="false">IF(A467="","",IF(AND(COUNTIF(Students!$A$2:$A$500,B467)=1,COUNTIF($A$2:$A$1000,A467)=1,ISNUMBER(H467),ISNUMBER(FIND("@",I467))),"OK","CHECK"))</f>
        <v/>
      </c>
    </row>
    <row r="468" customFormat="false" ht="15" hidden="false" customHeight="false" outlineLevel="0" collapsed="false">
      <c r="F468" s="7"/>
      <c r="H468" s="9"/>
      <c r="J468" s="8"/>
      <c r="K468" s="8"/>
      <c r="M468" s="9"/>
      <c r="P468" s="8"/>
      <c r="Q468" s="8"/>
      <c r="U468" s="0" t="str">
        <f aca="false">IF(A468="","",IF(AND(COUNTIF(Students!$A$2:$A$500,B468)=1,COUNTIF($A$2:$A$1000,A468)=1,ISNUMBER(H468),ISNUMBER(FIND("@",I468))),"OK","CHECK"))</f>
        <v/>
      </c>
    </row>
    <row r="469" customFormat="false" ht="15" hidden="false" customHeight="false" outlineLevel="0" collapsed="false">
      <c r="F469" s="7"/>
      <c r="H469" s="9"/>
      <c r="J469" s="8"/>
      <c r="K469" s="8"/>
      <c r="M469" s="9"/>
      <c r="P469" s="8"/>
      <c r="Q469" s="8"/>
      <c r="U469" s="0" t="str">
        <f aca="false">IF(A469="","",IF(AND(COUNTIF(Students!$A$2:$A$500,B469)=1,COUNTIF($A$2:$A$1000,A469)=1,ISNUMBER(H469),ISNUMBER(FIND("@",I469))),"OK","CHECK"))</f>
        <v/>
      </c>
    </row>
    <row r="470" customFormat="false" ht="15" hidden="false" customHeight="false" outlineLevel="0" collapsed="false">
      <c r="F470" s="7"/>
      <c r="H470" s="9"/>
      <c r="J470" s="8"/>
      <c r="K470" s="8"/>
      <c r="M470" s="9"/>
      <c r="P470" s="8"/>
      <c r="Q470" s="8"/>
      <c r="U470" s="0" t="str">
        <f aca="false">IF(A470="","",IF(AND(COUNTIF(Students!$A$2:$A$500,B470)=1,COUNTIF($A$2:$A$1000,A470)=1,ISNUMBER(H470),ISNUMBER(FIND("@",I470))),"OK","CHECK"))</f>
        <v/>
      </c>
    </row>
    <row r="471" customFormat="false" ht="15" hidden="false" customHeight="false" outlineLevel="0" collapsed="false">
      <c r="F471" s="7"/>
      <c r="H471" s="9"/>
      <c r="J471" s="8"/>
      <c r="K471" s="8"/>
      <c r="M471" s="9"/>
      <c r="P471" s="8"/>
      <c r="Q471" s="8"/>
      <c r="U471" s="0" t="str">
        <f aca="false">IF(A471="","",IF(AND(COUNTIF(Students!$A$2:$A$500,B471)=1,COUNTIF($A$2:$A$1000,A471)=1,ISNUMBER(H471),ISNUMBER(FIND("@",I471))),"OK","CHECK"))</f>
        <v/>
      </c>
    </row>
    <row r="472" customFormat="false" ht="15" hidden="false" customHeight="false" outlineLevel="0" collapsed="false">
      <c r="F472" s="7"/>
      <c r="H472" s="9"/>
      <c r="J472" s="8"/>
      <c r="K472" s="8"/>
      <c r="M472" s="9"/>
      <c r="P472" s="8"/>
      <c r="Q472" s="8"/>
      <c r="U472" s="0" t="str">
        <f aca="false">IF(A472="","",IF(AND(COUNTIF(Students!$A$2:$A$500,B472)=1,COUNTIF($A$2:$A$1000,A472)=1,ISNUMBER(H472),ISNUMBER(FIND("@",I472))),"OK","CHECK"))</f>
        <v/>
      </c>
    </row>
    <row r="473" customFormat="false" ht="15" hidden="false" customHeight="false" outlineLevel="0" collapsed="false">
      <c r="F473" s="7"/>
      <c r="H473" s="9"/>
      <c r="J473" s="8"/>
      <c r="K473" s="8"/>
      <c r="M473" s="9"/>
      <c r="P473" s="8"/>
      <c r="Q473" s="8"/>
      <c r="U473" s="0" t="str">
        <f aca="false">IF(A473="","",IF(AND(COUNTIF(Students!$A$2:$A$500,B473)=1,COUNTIF($A$2:$A$1000,A473)=1,ISNUMBER(H473),ISNUMBER(FIND("@",I473))),"OK","CHECK"))</f>
        <v/>
      </c>
    </row>
    <row r="474" customFormat="false" ht="15" hidden="false" customHeight="false" outlineLevel="0" collapsed="false">
      <c r="F474" s="7"/>
      <c r="H474" s="9"/>
      <c r="J474" s="8"/>
      <c r="K474" s="8"/>
      <c r="M474" s="9"/>
      <c r="P474" s="8"/>
      <c r="Q474" s="8"/>
      <c r="U474" s="0" t="str">
        <f aca="false">IF(A474="","",IF(AND(COUNTIF(Students!$A$2:$A$500,B474)=1,COUNTIF($A$2:$A$1000,A474)=1,ISNUMBER(H474),ISNUMBER(FIND("@",I474))),"OK","CHECK"))</f>
        <v/>
      </c>
    </row>
    <row r="475" customFormat="false" ht="15" hidden="false" customHeight="false" outlineLevel="0" collapsed="false">
      <c r="F475" s="7"/>
      <c r="H475" s="9"/>
      <c r="J475" s="8"/>
      <c r="K475" s="8"/>
      <c r="M475" s="9"/>
      <c r="P475" s="8"/>
      <c r="Q475" s="8"/>
      <c r="U475" s="0" t="str">
        <f aca="false">IF(A475="","",IF(AND(COUNTIF(Students!$A$2:$A$500,B475)=1,COUNTIF($A$2:$A$1000,A475)=1,ISNUMBER(H475),ISNUMBER(FIND("@",I475))),"OK","CHECK"))</f>
        <v/>
      </c>
    </row>
    <row r="476" customFormat="false" ht="15" hidden="false" customHeight="false" outlineLevel="0" collapsed="false">
      <c r="F476" s="7"/>
      <c r="H476" s="9"/>
      <c r="J476" s="8"/>
      <c r="K476" s="8"/>
      <c r="M476" s="9"/>
      <c r="P476" s="8"/>
      <c r="Q476" s="8"/>
      <c r="U476" s="0" t="str">
        <f aca="false">IF(A476="","",IF(AND(COUNTIF(Students!$A$2:$A$500,B476)=1,COUNTIF($A$2:$A$1000,A476)=1,ISNUMBER(H476),ISNUMBER(FIND("@",I476))),"OK","CHECK"))</f>
        <v/>
      </c>
    </row>
    <row r="477" customFormat="false" ht="15" hidden="false" customHeight="false" outlineLevel="0" collapsed="false">
      <c r="F477" s="7"/>
      <c r="H477" s="9"/>
      <c r="J477" s="8"/>
      <c r="K477" s="8"/>
      <c r="M477" s="9"/>
      <c r="P477" s="8"/>
      <c r="Q477" s="8"/>
      <c r="U477" s="0" t="str">
        <f aca="false">IF(A477="","",IF(AND(COUNTIF(Students!$A$2:$A$500,B477)=1,COUNTIF($A$2:$A$1000,A477)=1,ISNUMBER(H477),ISNUMBER(FIND("@",I477))),"OK","CHECK"))</f>
        <v/>
      </c>
    </row>
    <row r="478" customFormat="false" ht="15" hidden="false" customHeight="false" outlineLevel="0" collapsed="false">
      <c r="F478" s="7"/>
      <c r="H478" s="9"/>
      <c r="J478" s="8"/>
      <c r="K478" s="8"/>
      <c r="M478" s="9"/>
      <c r="P478" s="8"/>
      <c r="Q478" s="8"/>
      <c r="U478" s="0" t="str">
        <f aca="false">IF(A478="","",IF(AND(COUNTIF(Students!$A$2:$A$500,B478)=1,COUNTIF($A$2:$A$1000,A478)=1,ISNUMBER(H478),ISNUMBER(FIND("@",I478))),"OK","CHECK"))</f>
        <v/>
      </c>
    </row>
    <row r="479" customFormat="false" ht="15" hidden="false" customHeight="false" outlineLevel="0" collapsed="false">
      <c r="F479" s="7"/>
      <c r="H479" s="9"/>
      <c r="J479" s="8"/>
      <c r="K479" s="8"/>
      <c r="M479" s="9"/>
      <c r="P479" s="8"/>
      <c r="Q479" s="8"/>
      <c r="U479" s="0" t="str">
        <f aca="false">IF(A479="","",IF(AND(COUNTIF(Students!$A$2:$A$500,B479)=1,COUNTIF($A$2:$A$1000,A479)=1,ISNUMBER(H479),ISNUMBER(FIND("@",I479))),"OK","CHECK"))</f>
        <v/>
      </c>
    </row>
    <row r="480" customFormat="false" ht="15" hidden="false" customHeight="false" outlineLevel="0" collapsed="false">
      <c r="F480" s="7"/>
      <c r="H480" s="9"/>
      <c r="J480" s="8"/>
      <c r="K480" s="8"/>
      <c r="M480" s="9"/>
      <c r="P480" s="8"/>
      <c r="Q480" s="8"/>
      <c r="U480" s="0" t="str">
        <f aca="false">IF(A480="","",IF(AND(COUNTIF(Students!$A$2:$A$500,B480)=1,COUNTIF($A$2:$A$1000,A480)=1,ISNUMBER(H480),ISNUMBER(FIND("@",I480))),"OK","CHECK"))</f>
        <v/>
      </c>
    </row>
    <row r="481" customFormat="false" ht="15" hidden="false" customHeight="false" outlineLevel="0" collapsed="false">
      <c r="F481" s="7"/>
      <c r="H481" s="9"/>
      <c r="J481" s="8"/>
      <c r="K481" s="8"/>
      <c r="M481" s="9"/>
      <c r="P481" s="8"/>
      <c r="Q481" s="8"/>
      <c r="U481" s="0" t="str">
        <f aca="false">IF(A481="","",IF(AND(COUNTIF(Students!$A$2:$A$500,B481)=1,COUNTIF($A$2:$A$1000,A481)=1,ISNUMBER(H481),ISNUMBER(FIND("@",I481))),"OK","CHECK"))</f>
        <v/>
      </c>
    </row>
    <row r="482" customFormat="false" ht="15" hidden="false" customHeight="false" outlineLevel="0" collapsed="false">
      <c r="F482" s="7"/>
      <c r="H482" s="9"/>
      <c r="J482" s="8"/>
      <c r="K482" s="8"/>
      <c r="M482" s="9"/>
      <c r="P482" s="8"/>
      <c r="Q482" s="8"/>
      <c r="U482" s="0" t="str">
        <f aca="false">IF(A482="","",IF(AND(COUNTIF(Students!$A$2:$A$500,B482)=1,COUNTIF($A$2:$A$1000,A482)=1,ISNUMBER(H482),ISNUMBER(FIND("@",I482))),"OK","CHECK"))</f>
        <v/>
      </c>
    </row>
    <row r="483" customFormat="false" ht="15" hidden="false" customHeight="false" outlineLevel="0" collapsed="false">
      <c r="F483" s="7"/>
      <c r="H483" s="9"/>
      <c r="J483" s="8"/>
      <c r="K483" s="8"/>
      <c r="M483" s="9"/>
      <c r="P483" s="8"/>
      <c r="Q483" s="8"/>
      <c r="U483" s="0" t="str">
        <f aca="false">IF(A483="","",IF(AND(COUNTIF(Students!$A$2:$A$500,B483)=1,COUNTIF($A$2:$A$1000,A483)=1,ISNUMBER(H483),ISNUMBER(FIND("@",I483))),"OK","CHECK"))</f>
        <v/>
      </c>
    </row>
    <row r="484" customFormat="false" ht="15" hidden="false" customHeight="false" outlineLevel="0" collapsed="false">
      <c r="F484" s="7"/>
      <c r="H484" s="9"/>
      <c r="J484" s="8"/>
      <c r="K484" s="8"/>
      <c r="M484" s="9"/>
      <c r="P484" s="8"/>
      <c r="Q484" s="8"/>
      <c r="U484" s="0" t="str">
        <f aca="false">IF(A484="","",IF(AND(COUNTIF(Students!$A$2:$A$500,B484)=1,COUNTIF($A$2:$A$1000,A484)=1,ISNUMBER(H484),ISNUMBER(FIND("@",I484))),"OK","CHECK"))</f>
        <v/>
      </c>
    </row>
    <row r="485" customFormat="false" ht="15" hidden="false" customHeight="false" outlineLevel="0" collapsed="false">
      <c r="F485" s="7"/>
      <c r="H485" s="9"/>
      <c r="J485" s="8"/>
      <c r="K485" s="8"/>
      <c r="M485" s="9"/>
      <c r="P485" s="8"/>
      <c r="Q485" s="8"/>
      <c r="U485" s="0" t="str">
        <f aca="false">IF(A485="","",IF(AND(COUNTIF(Students!$A$2:$A$500,B485)=1,COUNTIF($A$2:$A$1000,A485)=1,ISNUMBER(H485),ISNUMBER(FIND("@",I485))),"OK","CHECK"))</f>
        <v/>
      </c>
    </row>
    <row r="486" customFormat="false" ht="15" hidden="false" customHeight="false" outlineLevel="0" collapsed="false">
      <c r="F486" s="7"/>
      <c r="H486" s="9"/>
      <c r="J486" s="8"/>
      <c r="K486" s="8"/>
      <c r="M486" s="9"/>
      <c r="P486" s="8"/>
      <c r="Q486" s="8"/>
      <c r="U486" s="0" t="str">
        <f aca="false">IF(A486="","",IF(AND(COUNTIF(Students!$A$2:$A$500,B486)=1,COUNTIF($A$2:$A$1000,A486)=1,ISNUMBER(H486),ISNUMBER(FIND("@",I486))),"OK","CHECK"))</f>
        <v/>
      </c>
    </row>
    <row r="487" customFormat="false" ht="15" hidden="false" customHeight="false" outlineLevel="0" collapsed="false">
      <c r="F487" s="7"/>
      <c r="H487" s="9"/>
      <c r="J487" s="8"/>
      <c r="K487" s="8"/>
      <c r="M487" s="9"/>
      <c r="P487" s="8"/>
      <c r="Q487" s="8"/>
      <c r="U487" s="0" t="str">
        <f aca="false">IF(A487="","",IF(AND(COUNTIF(Students!$A$2:$A$500,B487)=1,COUNTIF($A$2:$A$1000,A487)=1,ISNUMBER(H487),ISNUMBER(FIND("@",I487))),"OK","CHECK"))</f>
        <v/>
      </c>
    </row>
    <row r="488" customFormat="false" ht="15" hidden="false" customHeight="false" outlineLevel="0" collapsed="false">
      <c r="F488" s="7"/>
      <c r="H488" s="9"/>
      <c r="J488" s="8"/>
      <c r="K488" s="8"/>
      <c r="M488" s="9"/>
      <c r="P488" s="8"/>
      <c r="Q488" s="8"/>
      <c r="U488" s="0" t="str">
        <f aca="false">IF(A488="","",IF(AND(COUNTIF(Students!$A$2:$A$500,B488)=1,COUNTIF($A$2:$A$1000,A488)=1,ISNUMBER(H488),ISNUMBER(FIND("@",I488))),"OK","CHECK"))</f>
        <v/>
      </c>
    </row>
    <row r="489" customFormat="false" ht="15" hidden="false" customHeight="false" outlineLevel="0" collapsed="false">
      <c r="F489" s="7"/>
      <c r="H489" s="9"/>
      <c r="J489" s="8"/>
      <c r="K489" s="8"/>
      <c r="M489" s="9"/>
      <c r="P489" s="8"/>
      <c r="Q489" s="8"/>
      <c r="U489" s="0" t="str">
        <f aca="false">IF(A489="","",IF(AND(COUNTIF(Students!$A$2:$A$500,B489)=1,COUNTIF($A$2:$A$1000,A489)=1,ISNUMBER(H489),ISNUMBER(FIND("@",I489))),"OK","CHECK"))</f>
        <v/>
      </c>
    </row>
    <row r="490" customFormat="false" ht="15" hidden="false" customHeight="false" outlineLevel="0" collapsed="false">
      <c r="F490" s="7"/>
      <c r="H490" s="9"/>
      <c r="J490" s="8"/>
      <c r="K490" s="8"/>
      <c r="M490" s="9"/>
      <c r="P490" s="8"/>
      <c r="Q490" s="8"/>
      <c r="U490" s="0" t="str">
        <f aca="false">IF(A490="","",IF(AND(COUNTIF(Students!$A$2:$A$500,B490)=1,COUNTIF($A$2:$A$1000,A490)=1,ISNUMBER(H490),ISNUMBER(FIND("@",I490))),"OK","CHECK"))</f>
        <v/>
      </c>
    </row>
    <row r="491" customFormat="false" ht="15" hidden="false" customHeight="false" outlineLevel="0" collapsed="false">
      <c r="F491" s="7"/>
      <c r="H491" s="9"/>
      <c r="J491" s="8"/>
      <c r="K491" s="8"/>
      <c r="M491" s="9"/>
      <c r="P491" s="8"/>
      <c r="Q491" s="8"/>
      <c r="U491" s="0" t="str">
        <f aca="false">IF(A491="","",IF(AND(COUNTIF(Students!$A$2:$A$500,B491)=1,COUNTIF($A$2:$A$1000,A491)=1,ISNUMBER(H491),ISNUMBER(FIND("@",I491))),"OK","CHECK"))</f>
        <v/>
      </c>
    </row>
    <row r="492" customFormat="false" ht="15" hidden="false" customHeight="false" outlineLevel="0" collapsed="false">
      <c r="F492" s="7"/>
      <c r="H492" s="9"/>
      <c r="J492" s="8"/>
      <c r="K492" s="8"/>
      <c r="M492" s="9"/>
      <c r="P492" s="8"/>
      <c r="Q492" s="8"/>
      <c r="U492" s="0" t="str">
        <f aca="false">IF(A492="","",IF(AND(COUNTIF(Students!$A$2:$A$500,B492)=1,COUNTIF($A$2:$A$1000,A492)=1,ISNUMBER(H492),ISNUMBER(FIND("@",I492))),"OK","CHECK"))</f>
        <v/>
      </c>
    </row>
    <row r="493" customFormat="false" ht="15" hidden="false" customHeight="false" outlineLevel="0" collapsed="false">
      <c r="F493" s="7"/>
      <c r="H493" s="9"/>
      <c r="J493" s="8"/>
      <c r="K493" s="8"/>
      <c r="M493" s="9"/>
      <c r="P493" s="8"/>
      <c r="Q493" s="8"/>
      <c r="U493" s="0" t="str">
        <f aca="false">IF(A493="","",IF(AND(COUNTIF(Students!$A$2:$A$500,B493)=1,COUNTIF($A$2:$A$1000,A493)=1,ISNUMBER(H493),ISNUMBER(FIND("@",I493))),"OK","CHECK"))</f>
        <v/>
      </c>
    </row>
    <row r="494" customFormat="false" ht="15" hidden="false" customHeight="false" outlineLevel="0" collapsed="false">
      <c r="F494" s="7"/>
      <c r="H494" s="9"/>
      <c r="J494" s="8"/>
      <c r="K494" s="8"/>
      <c r="M494" s="9"/>
      <c r="P494" s="8"/>
      <c r="Q494" s="8"/>
      <c r="U494" s="0" t="str">
        <f aca="false">IF(A494="","",IF(AND(COUNTIF(Students!$A$2:$A$500,B494)=1,COUNTIF($A$2:$A$1000,A494)=1,ISNUMBER(H494),ISNUMBER(FIND("@",I494))),"OK","CHECK"))</f>
        <v/>
      </c>
    </row>
    <row r="495" customFormat="false" ht="15" hidden="false" customHeight="false" outlineLevel="0" collapsed="false">
      <c r="F495" s="7"/>
      <c r="H495" s="9"/>
      <c r="J495" s="8"/>
      <c r="K495" s="8"/>
      <c r="M495" s="9"/>
      <c r="P495" s="8"/>
      <c r="Q495" s="8"/>
      <c r="U495" s="0" t="str">
        <f aca="false">IF(A495="","",IF(AND(COUNTIF(Students!$A$2:$A$500,B495)=1,COUNTIF($A$2:$A$1000,A495)=1,ISNUMBER(H495),ISNUMBER(FIND("@",I495))),"OK","CHECK"))</f>
        <v/>
      </c>
    </row>
    <row r="496" customFormat="false" ht="15" hidden="false" customHeight="false" outlineLevel="0" collapsed="false">
      <c r="F496" s="7"/>
      <c r="H496" s="9"/>
      <c r="J496" s="8"/>
      <c r="K496" s="8"/>
      <c r="M496" s="9"/>
      <c r="P496" s="8"/>
      <c r="Q496" s="8"/>
      <c r="U496" s="0" t="str">
        <f aca="false">IF(A496="","",IF(AND(COUNTIF(Students!$A$2:$A$500,B496)=1,COUNTIF($A$2:$A$1000,A496)=1,ISNUMBER(H496),ISNUMBER(FIND("@",I496))),"OK","CHECK"))</f>
        <v/>
      </c>
    </row>
    <row r="497" customFormat="false" ht="15" hidden="false" customHeight="false" outlineLevel="0" collapsed="false">
      <c r="F497" s="7"/>
      <c r="H497" s="9"/>
      <c r="J497" s="8"/>
      <c r="K497" s="8"/>
      <c r="M497" s="9"/>
      <c r="P497" s="8"/>
      <c r="Q497" s="8"/>
      <c r="U497" s="0" t="str">
        <f aca="false">IF(A497="","",IF(AND(COUNTIF(Students!$A$2:$A$500,B497)=1,COUNTIF($A$2:$A$1000,A497)=1,ISNUMBER(H497),ISNUMBER(FIND("@",I497))),"OK","CHECK"))</f>
        <v/>
      </c>
    </row>
    <row r="498" customFormat="false" ht="15" hidden="false" customHeight="false" outlineLevel="0" collapsed="false">
      <c r="F498" s="7"/>
      <c r="H498" s="9"/>
      <c r="J498" s="8"/>
      <c r="K498" s="8"/>
      <c r="M498" s="9"/>
      <c r="P498" s="8"/>
      <c r="Q498" s="8"/>
      <c r="U498" s="0" t="str">
        <f aca="false">IF(A498="","",IF(AND(COUNTIF(Students!$A$2:$A$500,B498)=1,COUNTIF($A$2:$A$1000,A498)=1,ISNUMBER(H498),ISNUMBER(FIND("@",I498))),"OK","CHECK"))</f>
        <v/>
      </c>
    </row>
    <row r="499" customFormat="false" ht="15" hidden="false" customHeight="false" outlineLevel="0" collapsed="false">
      <c r="F499" s="7"/>
      <c r="H499" s="9"/>
      <c r="J499" s="8"/>
      <c r="K499" s="8"/>
      <c r="M499" s="9"/>
      <c r="P499" s="8"/>
      <c r="Q499" s="8"/>
      <c r="U499" s="0" t="str">
        <f aca="false">IF(A499="","",IF(AND(COUNTIF(Students!$A$2:$A$500,B499)=1,COUNTIF($A$2:$A$1000,A499)=1,ISNUMBER(H499),ISNUMBER(FIND("@",I499))),"OK","CHECK"))</f>
        <v/>
      </c>
    </row>
    <row r="500" customFormat="false" ht="15" hidden="false" customHeight="false" outlineLevel="0" collapsed="false">
      <c r="F500" s="7"/>
      <c r="H500" s="9"/>
      <c r="J500" s="8"/>
      <c r="K500" s="8"/>
      <c r="M500" s="9"/>
      <c r="P500" s="8"/>
      <c r="Q500" s="8"/>
      <c r="U500" s="0" t="str">
        <f aca="false">IF(A500="","",IF(AND(COUNTIF(Students!$A$2:$A$500,B500)=1,COUNTIF($A$2:$A$1000,A500)=1,ISNUMBER(H500),ISNUMBER(FIND("@",I500))),"OK","CHECK"))</f>
        <v/>
      </c>
    </row>
    <row r="501" customFormat="false" ht="15" hidden="false" customHeight="false" outlineLevel="0" collapsed="false">
      <c r="F501" s="7"/>
      <c r="H501" s="9"/>
      <c r="J501" s="8"/>
      <c r="K501" s="8"/>
      <c r="M501" s="9"/>
      <c r="P501" s="8"/>
      <c r="Q501" s="8"/>
      <c r="U501" s="0" t="str">
        <f aca="false">IF(A501="","",IF(AND(COUNTIF(Students!$A$2:$A$500,B501)=1,COUNTIF($A$2:$A$1000,A501)=1,ISNUMBER(H501),ISNUMBER(FIND("@",I501))),"OK","CHECK"))</f>
        <v/>
      </c>
    </row>
    <row r="502" customFormat="false" ht="15" hidden="false" customHeight="false" outlineLevel="0" collapsed="false">
      <c r="F502" s="7"/>
      <c r="H502" s="9"/>
      <c r="J502" s="8"/>
      <c r="K502" s="8"/>
      <c r="M502" s="9"/>
      <c r="P502" s="8"/>
      <c r="Q502" s="8"/>
      <c r="U502" s="0" t="str">
        <f aca="false">IF(A502="","",IF(AND(COUNTIF(Students!$A$2:$A$500,B502)=1,COUNTIF($A$2:$A$1000,A502)=1,ISNUMBER(H502),ISNUMBER(FIND("@",I502))),"OK","CHECK"))</f>
        <v/>
      </c>
    </row>
    <row r="503" customFormat="false" ht="15" hidden="false" customHeight="false" outlineLevel="0" collapsed="false">
      <c r="F503" s="7"/>
      <c r="H503" s="9"/>
      <c r="J503" s="8"/>
      <c r="K503" s="8"/>
      <c r="M503" s="9"/>
      <c r="P503" s="8"/>
      <c r="Q503" s="8"/>
      <c r="U503" s="0" t="str">
        <f aca="false">IF(A503="","",IF(AND(COUNTIF(Students!$A$2:$A$500,B503)=1,COUNTIF($A$2:$A$1000,A503)=1,ISNUMBER(H503),ISNUMBER(FIND("@",I503))),"OK","CHECK"))</f>
        <v/>
      </c>
    </row>
    <row r="504" customFormat="false" ht="15" hidden="false" customHeight="false" outlineLevel="0" collapsed="false">
      <c r="F504" s="7"/>
      <c r="H504" s="9"/>
      <c r="J504" s="8"/>
      <c r="K504" s="8"/>
      <c r="M504" s="9"/>
      <c r="P504" s="8"/>
      <c r="Q504" s="8"/>
      <c r="U504" s="0" t="str">
        <f aca="false">IF(A504="","",IF(AND(COUNTIF(Students!$A$2:$A$500,B504)=1,COUNTIF($A$2:$A$1000,A504)=1,ISNUMBER(H504),ISNUMBER(FIND("@",I504))),"OK","CHECK"))</f>
        <v/>
      </c>
    </row>
    <row r="505" customFormat="false" ht="15" hidden="false" customHeight="false" outlineLevel="0" collapsed="false">
      <c r="F505" s="7"/>
      <c r="H505" s="9"/>
      <c r="J505" s="8"/>
      <c r="K505" s="8"/>
      <c r="M505" s="9"/>
      <c r="P505" s="8"/>
      <c r="Q505" s="8"/>
      <c r="U505" s="0" t="str">
        <f aca="false">IF(A505="","",IF(AND(COUNTIF(Students!$A$2:$A$500,B505)=1,COUNTIF($A$2:$A$1000,A505)=1,ISNUMBER(H505),ISNUMBER(FIND("@",I505))),"OK","CHECK"))</f>
        <v/>
      </c>
    </row>
    <row r="506" customFormat="false" ht="15" hidden="false" customHeight="false" outlineLevel="0" collapsed="false">
      <c r="F506" s="7"/>
      <c r="H506" s="9"/>
      <c r="J506" s="8"/>
      <c r="K506" s="8"/>
      <c r="M506" s="9"/>
      <c r="P506" s="8"/>
      <c r="Q506" s="8"/>
      <c r="U506" s="0" t="str">
        <f aca="false">IF(A506="","",IF(AND(COUNTIF(Students!$A$2:$A$500,B506)=1,COUNTIF($A$2:$A$1000,A506)=1,ISNUMBER(H506),ISNUMBER(FIND("@",I506))),"OK","CHECK"))</f>
        <v/>
      </c>
    </row>
    <row r="507" customFormat="false" ht="15" hidden="false" customHeight="false" outlineLevel="0" collapsed="false">
      <c r="F507" s="7"/>
      <c r="H507" s="9"/>
      <c r="J507" s="8"/>
      <c r="K507" s="8"/>
      <c r="M507" s="9"/>
      <c r="P507" s="8"/>
      <c r="Q507" s="8"/>
      <c r="U507" s="0" t="str">
        <f aca="false">IF(A507="","",IF(AND(COUNTIF(Students!$A$2:$A$500,B507)=1,COUNTIF($A$2:$A$1000,A507)=1,ISNUMBER(H507),ISNUMBER(FIND("@",I507))),"OK","CHECK"))</f>
        <v/>
      </c>
    </row>
    <row r="508" customFormat="false" ht="15" hidden="false" customHeight="false" outlineLevel="0" collapsed="false">
      <c r="F508" s="7"/>
      <c r="H508" s="9"/>
      <c r="J508" s="8"/>
      <c r="K508" s="8"/>
      <c r="M508" s="9"/>
      <c r="P508" s="8"/>
      <c r="Q508" s="8"/>
      <c r="U508" s="0" t="str">
        <f aca="false">IF(A508="","",IF(AND(COUNTIF(Students!$A$2:$A$500,B508)=1,COUNTIF($A$2:$A$1000,A508)=1,ISNUMBER(H508),ISNUMBER(FIND("@",I508))),"OK","CHECK"))</f>
        <v/>
      </c>
    </row>
    <row r="509" customFormat="false" ht="15" hidden="false" customHeight="false" outlineLevel="0" collapsed="false">
      <c r="F509" s="7"/>
      <c r="H509" s="9"/>
      <c r="J509" s="8"/>
      <c r="K509" s="8"/>
      <c r="M509" s="9"/>
      <c r="P509" s="8"/>
      <c r="Q509" s="8"/>
      <c r="U509" s="0" t="str">
        <f aca="false">IF(A509="","",IF(AND(COUNTIF(Students!$A$2:$A$500,B509)=1,COUNTIF($A$2:$A$1000,A509)=1,ISNUMBER(H509),ISNUMBER(FIND("@",I509))),"OK","CHECK"))</f>
        <v/>
      </c>
    </row>
    <row r="510" customFormat="false" ht="15" hidden="false" customHeight="false" outlineLevel="0" collapsed="false">
      <c r="F510" s="7"/>
      <c r="H510" s="9"/>
      <c r="J510" s="8"/>
      <c r="K510" s="8"/>
      <c r="M510" s="9"/>
      <c r="P510" s="8"/>
      <c r="Q510" s="8"/>
      <c r="U510" s="0" t="str">
        <f aca="false">IF(A510="","",IF(AND(COUNTIF(Students!$A$2:$A$500,B510)=1,COUNTIF($A$2:$A$1000,A510)=1,ISNUMBER(H510),ISNUMBER(FIND("@",I510))),"OK","CHECK"))</f>
        <v/>
      </c>
    </row>
    <row r="511" customFormat="false" ht="15" hidden="false" customHeight="false" outlineLevel="0" collapsed="false">
      <c r="F511" s="7"/>
      <c r="H511" s="9"/>
      <c r="J511" s="8"/>
      <c r="K511" s="8"/>
      <c r="M511" s="9"/>
      <c r="P511" s="8"/>
      <c r="Q511" s="8"/>
      <c r="U511" s="0" t="str">
        <f aca="false">IF(A511="","",IF(AND(COUNTIF(Students!$A$2:$A$500,B511)=1,COUNTIF($A$2:$A$1000,A511)=1,ISNUMBER(H511),ISNUMBER(FIND("@",I511))),"OK","CHECK"))</f>
        <v/>
      </c>
    </row>
    <row r="512" customFormat="false" ht="15" hidden="false" customHeight="false" outlineLevel="0" collapsed="false">
      <c r="F512" s="7"/>
      <c r="H512" s="9"/>
      <c r="J512" s="8"/>
      <c r="K512" s="8"/>
      <c r="M512" s="9"/>
      <c r="P512" s="8"/>
      <c r="Q512" s="8"/>
      <c r="U512" s="0" t="str">
        <f aca="false">IF(A512="","",IF(AND(COUNTIF(Students!$A$2:$A$500,B512)=1,COUNTIF($A$2:$A$1000,A512)=1,ISNUMBER(H512),ISNUMBER(FIND("@",I512))),"OK","CHECK"))</f>
        <v/>
      </c>
    </row>
    <row r="513" customFormat="false" ht="15" hidden="false" customHeight="false" outlineLevel="0" collapsed="false">
      <c r="F513" s="7"/>
      <c r="H513" s="9"/>
      <c r="J513" s="8"/>
      <c r="K513" s="8"/>
      <c r="M513" s="9"/>
      <c r="P513" s="8"/>
      <c r="Q513" s="8"/>
      <c r="U513" s="0" t="str">
        <f aca="false">IF(A513="","",IF(AND(COUNTIF(Students!$A$2:$A$500,B513)=1,COUNTIF($A$2:$A$1000,A513)=1,ISNUMBER(H513),ISNUMBER(FIND("@",I513))),"OK","CHECK"))</f>
        <v/>
      </c>
    </row>
    <row r="514" customFormat="false" ht="15" hidden="false" customHeight="false" outlineLevel="0" collapsed="false">
      <c r="F514" s="7"/>
      <c r="H514" s="9"/>
      <c r="J514" s="8"/>
      <c r="K514" s="8"/>
      <c r="M514" s="9"/>
      <c r="P514" s="8"/>
      <c r="Q514" s="8"/>
      <c r="U514" s="0" t="str">
        <f aca="false">IF(A514="","",IF(AND(COUNTIF(Students!$A$2:$A$500,B514)=1,COUNTIF($A$2:$A$1000,A514)=1,ISNUMBER(H514),ISNUMBER(FIND("@",I514))),"OK","CHECK"))</f>
        <v/>
      </c>
    </row>
    <row r="515" customFormat="false" ht="15" hidden="false" customHeight="false" outlineLevel="0" collapsed="false">
      <c r="F515" s="7"/>
      <c r="H515" s="9"/>
      <c r="J515" s="8"/>
      <c r="K515" s="8"/>
      <c r="M515" s="9"/>
      <c r="P515" s="8"/>
      <c r="Q515" s="8"/>
      <c r="U515" s="0" t="str">
        <f aca="false">IF(A515="","",IF(AND(COUNTIF(Students!$A$2:$A$500,B515)=1,COUNTIF($A$2:$A$1000,A515)=1,ISNUMBER(H515),ISNUMBER(FIND("@",I515))),"OK","CHECK"))</f>
        <v/>
      </c>
    </row>
    <row r="516" customFormat="false" ht="15" hidden="false" customHeight="false" outlineLevel="0" collapsed="false">
      <c r="F516" s="7"/>
      <c r="H516" s="9"/>
      <c r="J516" s="8"/>
      <c r="K516" s="8"/>
      <c r="M516" s="9"/>
      <c r="P516" s="8"/>
      <c r="Q516" s="8"/>
      <c r="U516" s="0" t="str">
        <f aca="false">IF(A516="","",IF(AND(COUNTIF(Students!$A$2:$A$500,B516)=1,COUNTIF($A$2:$A$1000,A516)=1,ISNUMBER(H516),ISNUMBER(FIND("@",I516))),"OK","CHECK"))</f>
        <v/>
      </c>
    </row>
    <row r="517" customFormat="false" ht="15" hidden="false" customHeight="false" outlineLevel="0" collapsed="false">
      <c r="F517" s="7"/>
      <c r="H517" s="9"/>
      <c r="J517" s="8"/>
      <c r="K517" s="8"/>
      <c r="M517" s="9"/>
      <c r="P517" s="8"/>
      <c r="Q517" s="8"/>
      <c r="U517" s="0" t="str">
        <f aca="false">IF(A517="","",IF(AND(COUNTIF(Students!$A$2:$A$500,B517)=1,COUNTIF($A$2:$A$1000,A517)=1,ISNUMBER(H517),ISNUMBER(FIND("@",I517))),"OK","CHECK"))</f>
        <v/>
      </c>
    </row>
    <row r="518" customFormat="false" ht="15" hidden="false" customHeight="false" outlineLevel="0" collapsed="false">
      <c r="F518" s="7"/>
      <c r="H518" s="9"/>
      <c r="J518" s="8"/>
      <c r="K518" s="8"/>
      <c r="M518" s="9"/>
      <c r="P518" s="8"/>
      <c r="Q518" s="8"/>
      <c r="U518" s="0" t="str">
        <f aca="false">IF(A518="","",IF(AND(COUNTIF(Students!$A$2:$A$500,B518)=1,COUNTIF($A$2:$A$1000,A518)=1,ISNUMBER(H518),ISNUMBER(FIND("@",I518))),"OK","CHECK"))</f>
        <v/>
      </c>
    </row>
    <row r="519" customFormat="false" ht="15" hidden="false" customHeight="false" outlineLevel="0" collapsed="false">
      <c r="F519" s="7"/>
      <c r="H519" s="9"/>
      <c r="J519" s="8"/>
      <c r="K519" s="8"/>
      <c r="M519" s="9"/>
      <c r="P519" s="8"/>
      <c r="Q519" s="8"/>
      <c r="U519" s="0" t="str">
        <f aca="false">IF(A519="","",IF(AND(COUNTIF(Students!$A$2:$A$500,B519)=1,COUNTIF($A$2:$A$1000,A519)=1,ISNUMBER(H519),ISNUMBER(FIND("@",I519))),"OK","CHECK"))</f>
        <v/>
      </c>
    </row>
    <row r="520" customFormat="false" ht="15" hidden="false" customHeight="false" outlineLevel="0" collapsed="false">
      <c r="F520" s="7"/>
      <c r="H520" s="9"/>
      <c r="J520" s="8"/>
      <c r="K520" s="8"/>
      <c r="M520" s="9"/>
      <c r="P520" s="8"/>
      <c r="Q520" s="8"/>
      <c r="U520" s="0" t="str">
        <f aca="false">IF(A520="","",IF(AND(COUNTIF(Students!$A$2:$A$500,B520)=1,COUNTIF($A$2:$A$1000,A520)=1,ISNUMBER(H520),ISNUMBER(FIND("@",I520))),"OK","CHECK"))</f>
        <v/>
      </c>
    </row>
    <row r="521" customFormat="false" ht="15" hidden="false" customHeight="false" outlineLevel="0" collapsed="false">
      <c r="F521" s="7"/>
      <c r="H521" s="9"/>
      <c r="J521" s="8"/>
      <c r="K521" s="8"/>
      <c r="M521" s="9"/>
      <c r="P521" s="8"/>
      <c r="Q521" s="8"/>
      <c r="U521" s="0" t="str">
        <f aca="false">IF(A521="","",IF(AND(COUNTIF(Students!$A$2:$A$500,B521)=1,COUNTIF($A$2:$A$1000,A521)=1,ISNUMBER(H521),ISNUMBER(FIND("@",I521))),"OK","CHECK"))</f>
        <v/>
      </c>
    </row>
    <row r="522" customFormat="false" ht="15" hidden="false" customHeight="false" outlineLevel="0" collapsed="false">
      <c r="F522" s="7"/>
      <c r="H522" s="9"/>
      <c r="J522" s="8"/>
      <c r="K522" s="8"/>
      <c r="M522" s="9"/>
      <c r="P522" s="8"/>
      <c r="Q522" s="8"/>
      <c r="U522" s="0" t="str">
        <f aca="false">IF(A522="","",IF(AND(COUNTIF(Students!$A$2:$A$500,B522)=1,COUNTIF($A$2:$A$1000,A522)=1,ISNUMBER(H522),ISNUMBER(FIND("@",I522))),"OK","CHECK"))</f>
        <v/>
      </c>
    </row>
    <row r="523" customFormat="false" ht="15" hidden="false" customHeight="false" outlineLevel="0" collapsed="false">
      <c r="F523" s="7"/>
      <c r="H523" s="9"/>
      <c r="J523" s="8"/>
      <c r="K523" s="8"/>
      <c r="M523" s="9"/>
      <c r="P523" s="8"/>
      <c r="Q523" s="8"/>
      <c r="U523" s="0" t="str">
        <f aca="false">IF(A523="","",IF(AND(COUNTIF(Students!$A$2:$A$500,B523)=1,COUNTIF($A$2:$A$1000,A523)=1,ISNUMBER(H523),ISNUMBER(FIND("@",I523))),"OK","CHECK"))</f>
        <v/>
      </c>
    </row>
    <row r="524" customFormat="false" ht="15" hidden="false" customHeight="false" outlineLevel="0" collapsed="false">
      <c r="F524" s="7"/>
      <c r="H524" s="9"/>
      <c r="J524" s="8"/>
      <c r="K524" s="8"/>
      <c r="M524" s="9"/>
      <c r="P524" s="8"/>
      <c r="Q524" s="8"/>
      <c r="U524" s="0" t="str">
        <f aca="false">IF(A524="","",IF(AND(COUNTIF(Students!$A$2:$A$500,B524)=1,COUNTIF($A$2:$A$1000,A524)=1,ISNUMBER(H524),ISNUMBER(FIND("@",I524))),"OK","CHECK"))</f>
        <v/>
      </c>
    </row>
    <row r="525" customFormat="false" ht="15" hidden="false" customHeight="false" outlineLevel="0" collapsed="false">
      <c r="F525" s="7"/>
      <c r="H525" s="9"/>
      <c r="J525" s="8"/>
      <c r="K525" s="8"/>
      <c r="M525" s="9"/>
      <c r="P525" s="8"/>
      <c r="Q525" s="8"/>
      <c r="U525" s="0" t="str">
        <f aca="false">IF(A525="","",IF(AND(COUNTIF(Students!$A$2:$A$500,B525)=1,COUNTIF($A$2:$A$1000,A525)=1,ISNUMBER(H525),ISNUMBER(FIND("@",I525))),"OK","CHECK"))</f>
        <v/>
      </c>
    </row>
    <row r="526" customFormat="false" ht="15" hidden="false" customHeight="false" outlineLevel="0" collapsed="false">
      <c r="F526" s="7"/>
      <c r="H526" s="9"/>
      <c r="J526" s="8"/>
      <c r="K526" s="8"/>
      <c r="M526" s="9"/>
      <c r="P526" s="8"/>
      <c r="Q526" s="8"/>
      <c r="U526" s="0" t="str">
        <f aca="false">IF(A526="","",IF(AND(COUNTIF(Students!$A$2:$A$500,B526)=1,COUNTIF($A$2:$A$1000,A526)=1,ISNUMBER(H526),ISNUMBER(FIND("@",I526))),"OK","CHECK"))</f>
        <v/>
      </c>
    </row>
    <row r="527" customFormat="false" ht="15" hidden="false" customHeight="false" outlineLevel="0" collapsed="false">
      <c r="F527" s="7"/>
      <c r="H527" s="9"/>
      <c r="J527" s="8"/>
      <c r="K527" s="8"/>
      <c r="M527" s="9"/>
      <c r="P527" s="8"/>
      <c r="Q527" s="8"/>
      <c r="U527" s="0" t="str">
        <f aca="false">IF(A527="","",IF(AND(COUNTIF(Students!$A$2:$A$500,B527)=1,COUNTIF($A$2:$A$1000,A527)=1,ISNUMBER(H527),ISNUMBER(FIND("@",I527))),"OK","CHECK"))</f>
        <v/>
      </c>
    </row>
    <row r="528" customFormat="false" ht="15" hidden="false" customHeight="false" outlineLevel="0" collapsed="false">
      <c r="F528" s="7"/>
      <c r="H528" s="9"/>
      <c r="J528" s="8"/>
      <c r="K528" s="8"/>
      <c r="M528" s="9"/>
      <c r="P528" s="8"/>
      <c r="Q528" s="8"/>
      <c r="U528" s="0" t="str">
        <f aca="false">IF(A528="","",IF(AND(COUNTIF(Students!$A$2:$A$500,B528)=1,COUNTIF($A$2:$A$1000,A528)=1,ISNUMBER(H528),ISNUMBER(FIND("@",I528))),"OK","CHECK"))</f>
        <v/>
      </c>
    </row>
    <row r="529" customFormat="false" ht="15" hidden="false" customHeight="false" outlineLevel="0" collapsed="false">
      <c r="F529" s="7"/>
      <c r="H529" s="9"/>
      <c r="J529" s="8"/>
      <c r="K529" s="8"/>
      <c r="M529" s="9"/>
      <c r="P529" s="8"/>
      <c r="Q529" s="8"/>
      <c r="U529" s="0" t="str">
        <f aca="false">IF(A529="","",IF(AND(COUNTIF(Students!$A$2:$A$500,B529)=1,COUNTIF($A$2:$A$1000,A529)=1,ISNUMBER(H529),ISNUMBER(FIND("@",I529))),"OK","CHECK"))</f>
        <v/>
      </c>
    </row>
    <row r="530" customFormat="false" ht="15" hidden="false" customHeight="false" outlineLevel="0" collapsed="false">
      <c r="F530" s="7"/>
      <c r="H530" s="9"/>
      <c r="J530" s="8"/>
      <c r="K530" s="8"/>
      <c r="M530" s="9"/>
      <c r="P530" s="8"/>
      <c r="Q530" s="8"/>
      <c r="U530" s="0" t="str">
        <f aca="false">IF(A530="","",IF(AND(COUNTIF(Students!$A$2:$A$500,B530)=1,COUNTIF($A$2:$A$1000,A530)=1,ISNUMBER(H530),ISNUMBER(FIND("@",I530))),"OK","CHECK"))</f>
        <v/>
      </c>
    </row>
    <row r="531" customFormat="false" ht="15" hidden="false" customHeight="false" outlineLevel="0" collapsed="false">
      <c r="F531" s="7"/>
      <c r="H531" s="9"/>
      <c r="J531" s="8"/>
      <c r="K531" s="8"/>
      <c r="M531" s="9"/>
      <c r="P531" s="8"/>
      <c r="Q531" s="8"/>
      <c r="U531" s="0" t="str">
        <f aca="false">IF(A531="","",IF(AND(COUNTIF(Students!$A$2:$A$500,B531)=1,COUNTIF($A$2:$A$1000,A531)=1,ISNUMBER(H531),ISNUMBER(FIND("@",I531))),"OK","CHECK"))</f>
        <v/>
      </c>
    </row>
    <row r="532" customFormat="false" ht="15" hidden="false" customHeight="false" outlineLevel="0" collapsed="false">
      <c r="F532" s="7"/>
      <c r="H532" s="9"/>
      <c r="J532" s="8"/>
      <c r="K532" s="8"/>
      <c r="M532" s="9"/>
      <c r="P532" s="8"/>
      <c r="Q532" s="8"/>
      <c r="U532" s="0" t="str">
        <f aca="false">IF(A532="","",IF(AND(COUNTIF(Students!$A$2:$A$500,B532)=1,COUNTIF($A$2:$A$1000,A532)=1,ISNUMBER(H532),ISNUMBER(FIND("@",I532))),"OK","CHECK"))</f>
        <v/>
      </c>
    </row>
    <row r="533" customFormat="false" ht="15" hidden="false" customHeight="false" outlineLevel="0" collapsed="false">
      <c r="F533" s="7"/>
      <c r="H533" s="9"/>
      <c r="J533" s="8"/>
      <c r="K533" s="8"/>
      <c r="M533" s="9"/>
      <c r="P533" s="8"/>
      <c r="Q533" s="8"/>
      <c r="U533" s="0" t="str">
        <f aca="false">IF(A533="","",IF(AND(COUNTIF(Students!$A$2:$A$500,B533)=1,COUNTIF($A$2:$A$1000,A533)=1,ISNUMBER(H533),ISNUMBER(FIND("@",I533))),"OK","CHECK"))</f>
        <v/>
      </c>
    </row>
    <row r="534" customFormat="false" ht="15" hidden="false" customHeight="false" outlineLevel="0" collapsed="false">
      <c r="F534" s="7"/>
      <c r="H534" s="9"/>
      <c r="J534" s="8"/>
      <c r="K534" s="8"/>
      <c r="M534" s="9"/>
      <c r="P534" s="8"/>
      <c r="Q534" s="8"/>
      <c r="U534" s="0" t="str">
        <f aca="false">IF(A534="","",IF(AND(COUNTIF(Students!$A$2:$A$500,B534)=1,COUNTIF($A$2:$A$1000,A534)=1,ISNUMBER(H534),ISNUMBER(FIND("@",I534))),"OK","CHECK"))</f>
        <v/>
      </c>
    </row>
    <row r="535" customFormat="false" ht="15" hidden="false" customHeight="false" outlineLevel="0" collapsed="false">
      <c r="F535" s="7"/>
      <c r="H535" s="9"/>
      <c r="J535" s="8"/>
      <c r="K535" s="8"/>
      <c r="M535" s="9"/>
      <c r="P535" s="8"/>
      <c r="Q535" s="8"/>
      <c r="U535" s="0" t="str">
        <f aca="false">IF(A535="","",IF(AND(COUNTIF(Students!$A$2:$A$500,B535)=1,COUNTIF($A$2:$A$1000,A535)=1,ISNUMBER(H535),ISNUMBER(FIND("@",I535))),"OK","CHECK"))</f>
        <v/>
      </c>
    </row>
    <row r="536" customFormat="false" ht="15" hidden="false" customHeight="false" outlineLevel="0" collapsed="false">
      <c r="F536" s="7"/>
      <c r="H536" s="9"/>
      <c r="J536" s="8"/>
      <c r="K536" s="8"/>
      <c r="M536" s="9"/>
      <c r="P536" s="8"/>
      <c r="Q536" s="8"/>
      <c r="U536" s="0" t="str">
        <f aca="false">IF(A536="","",IF(AND(COUNTIF(Students!$A$2:$A$500,B536)=1,COUNTIF($A$2:$A$1000,A536)=1,ISNUMBER(H536),ISNUMBER(FIND("@",I536))),"OK","CHECK"))</f>
        <v/>
      </c>
    </row>
    <row r="537" customFormat="false" ht="15" hidden="false" customHeight="false" outlineLevel="0" collapsed="false">
      <c r="F537" s="7"/>
      <c r="H537" s="9"/>
      <c r="J537" s="8"/>
      <c r="K537" s="8"/>
      <c r="M537" s="9"/>
      <c r="P537" s="8"/>
      <c r="Q537" s="8"/>
      <c r="U537" s="0" t="str">
        <f aca="false">IF(A537="","",IF(AND(COUNTIF(Students!$A$2:$A$500,B537)=1,COUNTIF($A$2:$A$1000,A537)=1,ISNUMBER(H537),ISNUMBER(FIND("@",I537))),"OK","CHECK"))</f>
        <v/>
      </c>
    </row>
    <row r="538" customFormat="false" ht="15" hidden="false" customHeight="false" outlineLevel="0" collapsed="false">
      <c r="F538" s="7"/>
      <c r="H538" s="9"/>
      <c r="J538" s="8"/>
      <c r="K538" s="8"/>
      <c r="M538" s="9"/>
      <c r="P538" s="8"/>
      <c r="Q538" s="8"/>
      <c r="U538" s="0" t="str">
        <f aca="false">IF(A538="","",IF(AND(COUNTIF(Students!$A$2:$A$500,B538)=1,COUNTIF($A$2:$A$1000,A538)=1,ISNUMBER(H538),ISNUMBER(FIND("@",I538))),"OK","CHECK"))</f>
        <v/>
      </c>
    </row>
    <row r="539" customFormat="false" ht="15" hidden="false" customHeight="false" outlineLevel="0" collapsed="false">
      <c r="F539" s="7"/>
      <c r="H539" s="9"/>
      <c r="J539" s="8"/>
      <c r="K539" s="8"/>
      <c r="M539" s="9"/>
      <c r="P539" s="8"/>
      <c r="Q539" s="8"/>
      <c r="U539" s="0" t="str">
        <f aca="false">IF(A539="","",IF(AND(COUNTIF(Students!$A$2:$A$500,B539)=1,COUNTIF($A$2:$A$1000,A539)=1,ISNUMBER(H539),ISNUMBER(FIND("@",I539))),"OK","CHECK"))</f>
        <v/>
      </c>
    </row>
    <row r="540" customFormat="false" ht="15" hidden="false" customHeight="false" outlineLevel="0" collapsed="false">
      <c r="F540" s="7"/>
      <c r="H540" s="9"/>
      <c r="J540" s="8"/>
      <c r="K540" s="8"/>
      <c r="M540" s="9"/>
      <c r="P540" s="8"/>
      <c r="Q540" s="8"/>
      <c r="U540" s="0" t="str">
        <f aca="false">IF(A540="","",IF(AND(COUNTIF(Students!$A$2:$A$500,B540)=1,COUNTIF($A$2:$A$1000,A540)=1,ISNUMBER(H540),ISNUMBER(FIND("@",I540))),"OK","CHECK"))</f>
        <v/>
      </c>
    </row>
    <row r="541" customFormat="false" ht="15" hidden="false" customHeight="false" outlineLevel="0" collapsed="false">
      <c r="F541" s="7"/>
      <c r="H541" s="9"/>
      <c r="J541" s="8"/>
      <c r="K541" s="8"/>
      <c r="M541" s="9"/>
      <c r="P541" s="8"/>
      <c r="Q541" s="8"/>
      <c r="U541" s="0" t="str">
        <f aca="false">IF(A541="","",IF(AND(COUNTIF(Students!$A$2:$A$500,B541)=1,COUNTIF($A$2:$A$1000,A541)=1,ISNUMBER(H541),ISNUMBER(FIND("@",I541))),"OK","CHECK"))</f>
        <v/>
      </c>
    </row>
    <row r="542" customFormat="false" ht="15" hidden="false" customHeight="false" outlineLevel="0" collapsed="false">
      <c r="F542" s="7"/>
      <c r="H542" s="9"/>
      <c r="J542" s="8"/>
      <c r="K542" s="8"/>
      <c r="M542" s="9"/>
      <c r="P542" s="8"/>
      <c r="Q542" s="8"/>
      <c r="U542" s="0" t="str">
        <f aca="false">IF(A542="","",IF(AND(COUNTIF(Students!$A$2:$A$500,B542)=1,COUNTIF($A$2:$A$1000,A542)=1,ISNUMBER(H542),ISNUMBER(FIND("@",I542))),"OK","CHECK"))</f>
        <v/>
      </c>
    </row>
    <row r="543" customFormat="false" ht="15" hidden="false" customHeight="false" outlineLevel="0" collapsed="false">
      <c r="F543" s="7"/>
      <c r="H543" s="9"/>
      <c r="J543" s="8"/>
      <c r="K543" s="8"/>
      <c r="M543" s="9"/>
      <c r="P543" s="8"/>
      <c r="Q543" s="8"/>
      <c r="U543" s="0" t="str">
        <f aca="false">IF(A543="","",IF(AND(COUNTIF(Students!$A$2:$A$500,B543)=1,COUNTIF($A$2:$A$1000,A543)=1,ISNUMBER(H543),ISNUMBER(FIND("@",I543))),"OK","CHECK"))</f>
        <v/>
      </c>
    </row>
    <row r="544" customFormat="false" ht="15" hidden="false" customHeight="false" outlineLevel="0" collapsed="false">
      <c r="F544" s="7"/>
      <c r="H544" s="9"/>
      <c r="J544" s="8"/>
      <c r="K544" s="8"/>
      <c r="M544" s="9"/>
      <c r="P544" s="8"/>
      <c r="Q544" s="8"/>
      <c r="U544" s="0" t="str">
        <f aca="false">IF(A544="","",IF(AND(COUNTIF(Students!$A$2:$A$500,B544)=1,COUNTIF($A$2:$A$1000,A544)=1,ISNUMBER(H544),ISNUMBER(FIND("@",I544))),"OK","CHECK"))</f>
        <v/>
      </c>
    </row>
    <row r="545" customFormat="false" ht="15" hidden="false" customHeight="false" outlineLevel="0" collapsed="false">
      <c r="F545" s="7"/>
      <c r="H545" s="9"/>
      <c r="J545" s="8"/>
      <c r="K545" s="8"/>
      <c r="M545" s="9"/>
      <c r="P545" s="8"/>
      <c r="Q545" s="8"/>
      <c r="U545" s="0" t="str">
        <f aca="false">IF(A545="","",IF(AND(COUNTIF(Students!$A$2:$A$500,B545)=1,COUNTIF($A$2:$A$1000,A545)=1,ISNUMBER(H545),ISNUMBER(FIND("@",I545))),"OK","CHECK"))</f>
        <v/>
      </c>
    </row>
    <row r="546" customFormat="false" ht="15" hidden="false" customHeight="false" outlineLevel="0" collapsed="false">
      <c r="F546" s="7"/>
      <c r="H546" s="9"/>
      <c r="J546" s="8"/>
      <c r="K546" s="8"/>
      <c r="M546" s="9"/>
      <c r="P546" s="8"/>
      <c r="Q546" s="8"/>
      <c r="U546" s="0" t="str">
        <f aca="false">IF(A546="","",IF(AND(COUNTIF(Students!$A$2:$A$500,B546)=1,COUNTIF($A$2:$A$1000,A546)=1,ISNUMBER(H546),ISNUMBER(FIND("@",I546))),"OK","CHECK"))</f>
        <v/>
      </c>
    </row>
    <row r="547" customFormat="false" ht="15" hidden="false" customHeight="false" outlineLevel="0" collapsed="false">
      <c r="F547" s="7"/>
      <c r="H547" s="9"/>
      <c r="J547" s="8"/>
      <c r="K547" s="8"/>
      <c r="M547" s="9"/>
      <c r="P547" s="8"/>
      <c r="Q547" s="8"/>
      <c r="U547" s="0" t="str">
        <f aca="false">IF(A547="","",IF(AND(COUNTIF(Students!$A$2:$A$500,B547)=1,COUNTIF($A$2:$A$1000,A547)=1,ISNUMBER(H547),ISNUMBER(FIND("@",I547))),"OK","CHECK"))</f>
        <v/>
      </c>
    </row>
    <row r="548" customFormat="false" ht="15" hidden="false" customHeight="false" outlineLevel="0" collapsed="false">
      <c r="F548" s="7"/>
      <c r="H548" s="9"/>
      <c r="J548" s="8"/>
      <c r="K548" s="8"/>
      <c r="M548" s="9"/>
      <c r="P548" s="8"/>
      <c r="Q548" s="8"/>
      <c r="U548" s="0" t="str">
        <f aca="false">IF(A548="","",IF(AND(COUNTIF(Students!$A$2:$A$500,B548)=1,COUNTIF($A$2:$A$1000,A548)=1,ISNUMBER(H548),ISNUMBER(FIND("@",I548))),"OK","CHECK"))</f>
        <v/>
      </c>
    </row>
    <row r="549" customFormat="false" ht="15" hidden="false" customHeight="false" outlineLevel="0" collapsed="false">
      <c r="F549" s="7"/>
      <c r="H549" s="9"/>
      <c r="J549" s="8"/>
      <c r="K549" s="8"/>
      <c r="M549" s="9"/>
      <c r="P549" s="8"/>
      <c r="Q549" s="8"/>
      <c r="U549" s="0" t="str">
        <f aca="false">IF(A549="","",IF(AND(COUNTIF(Students!$A$2:$A$500,B549)=1,COUNTIF($A$2:$A$1000,A549)=1,ISNUMBER(H549),ISNUMBER(FIND("@",I549))),"OK","CHECK"))</f>
        <v/>
      </c>
    </row>
    <row r="550" customFormat="false" ht="15" hidden="false" customHeight="false" outlineLevel="0" collapsed="false">
      <c r="F550" s="7"/>
      <c r="H550" s="9"/>
      <c r="J550" s="8"/>
      <c r="K550" s="8"/>
      <c r="M550" s="9"/>
      <c r="P550" s="8"/>
      <c r="Q550" s="8"/>
      <c r="U550" s="0" t="str">
        <f aca="false">IF(A550="","",IF(AND(COUNTIF(Students!$A$2:$A$500,B550)=1,COUNTIF($A$2:$A$1000,A550)=1,ISNUMBER(H550),ISNUMBER(FIND("@",I550))),"OK","CHECK"))</f>
        <v/>
      </c>
    </row>
    <row r="551" customFormat="false" ht="15" hidden="false" customHeight="false" outlineLevel="0" collapsed="false">
      <c r="F551" s="7"/>
      <c r="H551" s="9"/>
      <c r="J551" s="8"/>
      <c r="K551" s="8"/>
      <c r="M551" s="9"/>
      <c r="P551" s="8"/>
      <c r="Q551" s="8"/>
      <c r="U551" s="0" t="str">
        <f aca="false">IF(A551="","",IF(AND(COUNTIF(Students!$A$2:$A$500,B551)=1,COUNTIF($A$2:$A$1000,A551)=1,ISNUMBER(H551),ISNUMBER(FIND("@",I551))),"OK","CHECK"))</f>
        <v/>
      </c>
    </row>
    <row r="552" customFormat="false" ht="15" hidden="false" customHeight="false" outlineLevel="0" collapsed="false">
      <c r="F552" s="7"/>
      <c r="H552" s="9"/>
      <c r="J552" s="8"/>
      <c r="K552" s="8"/>
      <c r="M552" s="9"/>
      <c r="P552" s="8"/>
      <c r="Q552" s="8"/>
      <c r="U552" s="0" t="str">
        <f aca="false">IF(A552="","",IF(AND(COUNTIF(Students!$A$2:$A$500,B552)=1,COUNTIF($A$2:$A$1000,A552)=1,ISNUMBER(H552),ISNUMBER(FIND("@",I552))),"OK","CHECK"))</f>
        <v/>
      </c>
    </row>
    <row r="553" customFormat="false" ht="15" hidden="false" customHeight="false" outlineLevel="0" collapsed="false">
      <c r="F553" s="7"/>
      <c r="H553" s="9"/>
      <c r="J553" s="8"/>
      <c r="K553" s="8"/>
      <c r="M553" s="9"/>
      <c r="P553" s="8"/>
      <c r="Q553" s="8"/>
      <c r="U553" s="0" t="str">
        <f aca="false">IF(A553="","",IF(AND(COUNTIF(Students!$A$2:$A$500,B553)=1,COUNTIF($A$2:$A$1000,A553)=1,ISNUMBER(H553),ISNUMBER(FIND("@",I553))),"OK","CHECK"))</f>
        <v/>
      </c>
    </row>
    <row r="554" customFormat="false" ht="15" hidden="false" customHeight="false" outlineLevel="0" collapsed="false">
      <c r="F554" s="7"/>
      <c r="H554" s="9"/>
      <c r="J554" s="8"/>
      <c r="K554" s="8"/>
      <c r="M554" s="9"/>
      <c r="P554" s="8"/>
      <c r="Q554" s="8"/>
      <c r="U554" s="0" t="str">
        <f aca="false">IF(A554="","",IF(AND(COUNTIF(Students!$A$2:$A$500,B554)=1,COUNTIF($A$2:$A$1000,A554)=1,ISNUMBER(H554),ISNUMBER(FIND("@",I554))),"OK","CHECK"))</f>
        <v/>
      </c>
    </row>
    <row r="555" customFormat="false" ht="15" hidden="false" customHeight="false" outlineLevel="0" collapsed="false">
      <c r="F555" s="7"/>
      <c r="H555" s="9"/>
      <c r="J555" s="8"/>
      <c r="K555" s="8"/>
      <c r="M555" s="9"/>
      <c r="P555" s="8"/>
      <c r="Q555" s="8"/>
      <c r="U555" s="0" t="str">
        <f aca="false">IF(A555="","",IF(AND(COUNTIF(Students!$A$2:$A$500,B555)=1,COUNTIF($A$2:$A$1000,A555)=1,ISNUMBER(H555),ISNUMBER(FIND("@",I555))),"OK","CHECK"))</f>
        <v/>
      </c>
    </row>
    <row r="556" customFormat="false" ht="15" hidden="false" customHeight="false" outlineLevel="0" collapsed="false">
      <c r="F556" s="7"/>
      <c r="H556" s="9"/>
      <c r="J556" s="8"/>
      <c r="K556" s="8"/>
      <c r="M556" s="9"/>
      <c r="P556" s="8"/>
      <c r="Q556" s="8"/>
      <c r="U556" s="0" t="str">
        <f aca="false">IF(A556="","",IF(AND(COUNTIF(Students!$A$2:$A$500,B556)=1,COUNTIF($A$2:$A$1000,A556)=1,ISNUMBER(H556),ISNUMBER(FIND("@",I556))),"OK","CHECK"))</f>
        <v/>
      </c>
    </row>
    <row r="557" customFormat="false" ht="15" hidden="false" customHeight="false" outlineLevel="0" collapsed="false">
      <c r="F557" s="7"/>
      <c r="H557" s="9"/>
      <c r="J557" s="8"/>
      <c r="K557" s="8"/>
      <c r="M557" s="9"/>
      <c r="P557" s="8"/>
      <c r="Q557" s="8"/>
      <c r="U557" s="0" t="str">
        <f aca="false">IF(A557="","",IF(AND(COUNTIF(Students!$A$2:$A$500,B557)=1,COUNTIF($A$2:$A$1000,A557)=1,ISNUMBER(H557),ISNUMBER(FIND("@",I557))),"OK","CHECK"))</f>
        <v/>
      </c>
    </row>
    <row r="558" customFormat="false" ht="15" hidden="false" customHeight="false" outlineLevel="0" collapsed="false">
      <c r="F558" s="7"/>
      <c r="H558" s="9"/>
      <c r="J558" s="8"/>
      <c r="K558" s="8"/>
      <c r="M558" s="9"/>
      <c r="P558" s="8"/>
      <c r="Q558" s="8"/>
      <c r="U558" s="0" t="str">
        <f aca="false">IF(A558="","",IF(AND(COUNTIF(Students!$A$2:$A$500,B558)=1,COUNTIF($A$2:$A$1000,A558)=1,ISNUMBER(H558),ISNUMBER(FIND("@",I558))),"OK","CHECK"))</f>
        <v/>
      </c>
    </row>
    <row r="559" customFormat="false" ht="15" hidden="false" customHeight="false" outlineLevel="0" collapsed="false">
      <c r="F559" s="7"/>
      <c r="H559" s="9"/>
      <c r="J559" s="8"/>
      <c r="K559" s="8"/>
      <c r="M559" s="9"/>
      <c r="P559" s="8"/>
      <c r="Q559" s="8"/>
      <c r="U559" s="0" t="str">
        <f aca="false">IF(A559="","",IF(AND(COUNTIF(Students!$A$2:$A$500,B559)=1,COUNTIF($A$2:$A$1000,A559)=1,ISNUMBER(H559),ISNUMBER(FIND("@",I559))),"OK","CHECK"))</f>
        <v/>
      </c>
    </row>
    <row r="560" customFormat="false" ht="15" hidden="false" customHeight="false" outlineLevel="0" collapsed="false">
      <c r="F560" s="7"/>
      <c r="H560" s="9"/>
      <c r="J560" s="8"/>
      <c r="K560" s="8"/>
      <c r="M560" s="9"/>
      <c r="P560" s="8"/>
      <c r="Q560" s="8"/>
      <c r="U560" s="0" t="str">
        <f aca="false">IF(A560="","",IF(AND(COUNTIF(Students!$A$2:$A$500,B560)=1,COUNTIF($A$2:$A$1000,A560)=1,ISNUMBER(H560),ISNUMBER(FIND("@",I560))),"OK","CHECK"))</f>
        <v/>
      </c>
    </row>
    <row r="561" customFormat="false" ht="15" hidden="false" customHeight="false" outlineLevel="0" collapsed="false">
      <c r="F561" s="7"/>
      <c r="H561" s="9"/>
      <c r="J561" s="8"/>
      <c r="K561" s="8"/>
      <c r="M561" s="9"/>
      <c r="P561" s="8"/>
      <c r="Q561" s="8"/>
      <c r="U561" s="0" t="str">
        <f aca="false">IF(A561="","",IF(AND(COUNTIF(Students!$A$2:$A$500,B561)=1,COUNTIF($A$2:$A$1000,A561)=1,ISNUMBER(H561),ISNUMBER(FIND("@",I561))),"OK","CHECK"))</f>
        <v/>
      </c>
    </row>
    <row r="562" customFormat="false" ht="15" hidden="false" customHeight="false" outlineLevel="0" collapsed="false">
      <c r="F562" s="7"/>
      <c r="H562" s="9"/>
      <c r="J562" s="8"/>
      <c r="K562" s="8"/>
      <c r="M562" s="9"/>
      <c r="P562" s="8"/>
      <c r="Q562" s="8"/>
      <c r="U562" s="0" t="str">
        <f aca="false">IF(A562="","",IF(AND(COUNTIF(Students!$A$2:$A$500,B562)=1,COUNTIF($A$2:$A$1000,A562)=1,ISNUMBER(H562),ISNUMBER(FIND("@",I562))),"OK","CHECK"))</f>
        <v/>
      </c>
    </row>
    <row r="563" customFormat="false" ht="15" hidden="false" customHeight="false" outlineLevel="0" collapsed="false">
      <c r="F563" s="7"/>
      <c r="H563" s="9"/>
      <c r="J563" s="8"/>
      <c r="K563" s="8"/>
      <c r="M563" s="9"/>
      <c r="P563" s="8"/>
      <c r="Q563" s="8"/>
      <c r="U563" s="0" t="str">
        <f aca="false">IF(A563="","",IF(AND(COUNTIF(Students!$A$2:$A$500,B563)=1,COUNTIF($A$2:$A$1000,A563)=1,ISNUMBER(H563),ISNUMBER(FIND("@",I563))),"OK","CHECK"))</f>
        <v/>
      </c>
    </row>
    <row r="564" customFormat="false" ht="15" hidden="false" customHeight="false" outlineLevel="0" collapsed="false">
      <c r="F564" s="7"/>
      <c r="H564" s="9"/>
      <c r="J564" s="8"/>
      <c r="K564" s="8"/>
      <c r="M564" s="9"/>
      <c r="P564" s="8"/>
      <c r="Q564" s="8"/>
      <c r="U564" s="0" t="str">
        <f aca="false">IF(A564="","",IF(AND(COUNTIF(Students!$A$2:$A$500,B564)=1,COUNTIF($A$2:$A$1000,A564)=1,ISNUMBER(H564),ISNUMBER(FIND("@",I564))),"OK","CHECK"))</f>
        <v/>
      </c>
    </row>
    <row r="565" customFormat="false" ht="15" hidden="false" customHeight="false" outlineLevel="0" collapsed="false">
      <c r="F565" s="7"/>
      <c r="H565" s="9"/>
      <c r="J565" s="8"/>
      <c r="K565" s="8"/>
      <c r="M565" s="9"/>
      <c r="P565" s="8"/>
      <c r="Q565" s="8"/>
      <c r="U565" s="0" t="str">
        <f aca="false">IF(A565="","",IF(AND(COUNTIF(Students!$A$2:$A$500,B565)=1,COUNTIF($A$2:$A$1000,A565)=1,ISNUMBER(H565),ISNUMBER(FIND("@",I565))),"OK","CHECK"))</f>
        <v/>
      </c>
    </row>
    <row r="566" customFormat="false" ht="15" hidden="false" customHeight="false" outlineLevel="0" collapsed="false">
      <c r="F566" s="7"/>
      <c r="H566" s="9"/>
      <c r="J566" s="8"/>
      <c r="K566" s="8"/>
      <c r="M566" s="9"/>
      <c r="P566" s="8"/>
      <c r="Q566" s="8"/>
      <c r="U566" s="0" t="str">
        <f aca="false">IF(A566="","",IF(AND(COUNTIF(Students!$A$2:$A$500,B566)=1,COUNTIF($A$2:$A$1000,A566)=1,ISNUMBER(H566),ISNUMBER(FIND("@",I566))),"OK","CHECK"))</f>
        <v/>
      </c>
    </row>
    <row r="567" customFormat="false" ht="15" hidden="false" customHeight="false" outlineLevel="0" collapsed="false">
      <c r="F567" s="7"/>
      <c r="H567" s="9"/>
      <c r="J567" s="8"/>
      <c r="K567" s="8"/>
      <c r="M567" s="9"/>
      <c r="P567" s="8"/>
      <c r="Q567" s="8"/>
      <c r="U567" s="0" t="str">
        <f aca="false">IF(A567="","",IF(AND(COUNTIF(Students!$A$2:$A$500,B567)=1,COUNTIF($A$2:$A$1000,A567)=1,ISNUMBER(H567),ISNUMBER(FIND("@",I567))),"OK","CHECK"))</f>
        <v/>
      </c>
    </row>
    <row r="568" customFormat="false" ht="15" hidden="false" customHeight="false" outlineLevel="0" collapsed="false">
      <c r="F568" s="7"/>
      <c r="H568" s="9"/>
      <c r="J568" s="8"/>
      <c r="K568" s="8"/>
      <c r="M568" s="9"/>
      <c r="P568" s="8"/>
      <c r="Q568" s="8"/>
      <c r="U568" s="0" t="str">
        <f aca="false">IF(A568="","",IF(AND(COUNTIF(Students!$A$2:$A$500,B568)=1,COUNTIF($A$2:$A$1000,A568)=1,ISNUMBER(H568),ISNUMBER(FIND("@",I568))),"OK","CHECK"))</f>
        <v/>
      </c>
    </row>
    <row r="569" customFormat="false" ht="15" hidden="false" customHeight="false" outlineLevel="0" collapsed="false">
      <c r="F569" s="7"/>
      <c r="H569" s="9"/>
      <c r="J569" s="8"/>
      <c r="K569" s="8"/>
      <c r="M569" s="9"/>
      <c r="P569" s="8"/>
      <c r="Q569" s="8"/>
      <c r="U569" s="0" t="str">
        <f aca="false">IF(A569="","",IF(AND(COUNTIF(Students!$A$2:$A$500,B569)=1,COUNTIF($A$2:$A$1000,A569)=1,ISNUMBER(H569),ISNUMBER(FIND("@",I569))),"OK","CHECK"))</f>
        <v/>
      </c>
    </row>
    <row r="570" customFormat="false" ht="15" hidden="false" customHeight="false" outlineLevel="0" collapsed="false">
      <c r="F570" s="7"/>
      <c r="H570" s="9"/>
      <c r="J570" s="8"/>
      <c r="K570" s="8"/>
      <c r="M570" s="9"/>
      <c r="P570" s="8"/>
      <c r="Q570" s="8"/>
      <c r="U570" s="0" t="str">
        <f aca="false">IF(A570="","",IF(AND(COUNTIF(Students!$A$2:$A$500,B570)=1,COUNTIF($A$2:$A$1000,A570)=1,ISNUMBER(H570),ISNUMBER(FIND("@",I570))),"OK","CHECK"))</f>
        <v/>
      </c>
    </row>
    <row r="571" customFormat="false" ht="15" hidden="false" customHeight="false" outlineLevel="0" collapsed="false">
      <c r="F571" s="7"/>
      <c r="H571" s="9"/>
      <c r="J571" s="8"/>
      <c r="K571" s="8"/>
      <c r="M571" s="9"/>
      <c r="P571" s="8"/>
      <c r="Q571" s="8"/>
      <c r="U571" s="0" t="str">
        <f aca="false">IF(A571="","",IF(AND(COUNTIF(Students!$A$2:$A$500,B571)=1,COUNTIF($A$2:$A$1000,A571)=1,ISNUMBER(H571),ISNUMBER(FIND("@",I571))),"OK","CHECK"))</f>
        <v/>
      </c>
    </row>
    <row r="572" customFormat="false" ht="15" hidden="false" customHeight="false" outlineLevel="0" collapsed="false">
      <c r="F572" s="7"/>
      <c r="H572" s="9"/>
      <c r="J572" s="8"/>
      <c r="K572" s="8"/>
      <c r="M572" s="9"/>
      <c r="P572" s="8"/>
      <c r="Q572" s="8"/>
      <c r="U572" s="0" t="str">
        <f aca="false">IF(A572="","",IF(AND(COUNTIF(Students!$A$2:$A$500,B572)=1,COUNTIF($A$2:$A$1000,A572)=1,ISNUMBER(H572),ISNUMBER(FIND("@",I572))),"OK","CHECK"))</f>
        <v/>
      </c>
    </row>
    <row r="573" customFormat="false" ht="15" hidden="false" customHeight="false" outlineLevel="0" collapsed="false">
      <c r="F573" s="7"/>
      <c r="H573" s="9"/>
      <c r="J573" s="8"/>
      <c r="K573" s="8"/>
      <c r="M573" s="9"/>
      <c r="P573" s="8"/>
      <c r="Q573" s="8"/>
      <c r="U573" s="0" t="str">
        <f aca="false">IF(A573="","",IF(AND(COUNTIF(Students!$A$2:$A$500,B573)=1,COUNTIF($A$2:$A$1000,A573)=1,ISNUMBER(H573),ISNUMBER(FIND("@",I573))),"OK","CHECK"))</f>
        <v/>
      </c>
    </row>
    <row r="574" customFormat="false" ht="15" hidden="false" customHeight="false" outlineLevel="0" collapsed="false">
      <c r="F574" s="7"/>
      <c r="H574" s="9"/>
      <c r="J574" s="8"/>
      <c r="K574" s="8"/>
      <c r="M574" s="9"/>
      <c r="P574" s="8"/>
      <c r="Q574" s="8"/>
      <c r="U574" s="0" t="str">
        <f aca="false">IF(A574="","",IF(AND(COUNTIF(Students!$A$2:$A$500,B574)=1,COUNTIF($A$2:$A$1000,A574)=1,ISNUMBER(H574),ISNUMBER(FIND("@",I574))),"OK","CHECK"))</f>
        <v/>
      </c>
    </row>
    <row r="575" customFormat="false" ht="15" hidden="false" customHeight="false" outlineLevel="0" collapsed="false">
      <c r="F575" s="7"/>
      <c r="H575" s="9"/>
      <c r="J575" s="8"/>
      <c r="K575" s="8"/>
      <c r="M575" s="9"/>
      <c r="P575" s="8"/>
      <c r="Q575" s="8"/>
      <c r="U575" s="0" t="str">
        <f aca="false">IF(A575="","",IF(AND(COUNTIF(Students!$A$2:$A$500,B575)=1,COUNTIF($A$2:$A$1000,A575)=1,ISNUMBER(H575),ISNUMBER(FIND("@",I575))),"OK","CHECK"))</f>
        <v/>
      </c>
    </row>
    <row r="576" customFormat="false" ht="15" hidden="false" customHeight="false" outlineLevel="0" collapsed="false">
      <c r="F576" s="7"/>
      <c r="H576" s="9"/>
      <c r="J576" s="8"/>
      <c r="K576" s="8"/>
      <c r="M576" s="9"/>
      <c r="P576" s="8"/>
      <c r="Q576" s="8"/>
      <c r="U576" s="0" t="str">
        <f aca="false">IF(A576="","",IF(AND(COUNTIF(Students!$A$2:$A$500,B576)=1,COUNTIF($A$2:$A$1000,A576)=1,ISNUMBER(H576),ISNUMBER(FIND("@",I576))),"OK","CHECK"))</f>
        <v/>
      </c>
    </row>
    <row r="577" customFormat="false" ht="15" hidden="false" customHeight="false" outlineLevel="0" collapsed="false">
      <c r="F577" s="7"/>
      <c r="H577" s="9"/>
      <c r="J577" s="8"/>
      <c r="K577" s="8"/>
      <c r="M577" s="9"/>
      <c r="P577" s="8"/>
      <c r="Q577" s="8"/>
      <c r="U577" s="0" t="str">
        <f aca="false">IF(A577="","",IF(AND(COUNTIF(Students!$A$2:$A$500,B577)=1,COUNTIF($A$2:$A$1000,A577)=1,ISNUMBER(H577),ISNUMBER(FIND("@",I577))),"OK","CHECK"))</f>
        <v/>
      </c>
    </row>
    <row r="578" customFormat="false" ht="15" hidden="false" customHeight="false" outlineLevel="0" collapsed="false">
      <c r="F578" s="7"/>
      <c r="H578" s="9"/>
      <c r="J578" s="8"/>
      <c r="K578" s="8"/>
      <c r="M578" s="9"/>
      <c r="P578" s="8"/>
      <c r="Q578" s="8"/>
      <c r="U578" s="0" t="str">
        <f aca="false">IF(A578="","",IF(AND(COUNTIF(Students!$A$2:$A$500,B578)=1,COUNTIF($A$2:$A$1000,A578)=1,ISNUMBER(H578),ISNUMBER(FIND("@",I578))),"OK","CHECK"))</f>
        <v/>
      </c>
    </row>
    <row r="579" customFormat="false" ht="15" hidden="false" customHeight="false" outlineLevel="0" collapsed="false">
      <c r="F579" s="7"/>
      <c r="H579" s="9"/>
      <c r="J579" s="8"/>
      <c r="K579" s="8"/>
      <c r="M579" s="9"/>
      <c r="P579" s="8"/>
      <c r="Q579" s="8"/>
      <c r="U579" s="0" t="str">
        <f aca="false">IF(A579="","",IF(AND(COUNTIF(Students!$A$2:$A$500,B579)=1,COUNTIF($A$2:$A$1000,A579)=1,ISNUMBER(H579),ISNUMBER(FIND("@",I579))),"OK","CHECK"))</f>
        <v/>
      </c>
    </row>
    <row r="580" customFormat="false" ht="15" hidden="false" customHeight="false" outlineLevel="0" collapsed="false">
      <c r="F580" s="7"/>
      <c r="H580" s="9"/>
      <c r="J580" s="8"/>
      <c r="K580" s="8"/>
      <c r="M580" s="9"/>
      <c r="P580" s="8"/>
      <c r="Q580" s="8"/>
      <c r="U580" s="0" t="str">
        <f aca="false">IF(A580="","",IF(AND(COUNTIF(Students!$A$2:$A$500,B580)=1,COUNTIF($A$2:$A$1000,A580)=1,ISNUMBER(H580),ISNUMBER(FIND("@",I580))),"OK","CHECK"))</f>
        <v/>
      </c>
    </row>
    <row r="581" customFormat="false" ht="15" hidden="false" customHeight="false" outlineLevel="0" collapsed="false">
      <c r="F581" s="7"/>
      <c r="H581" s="9"/>
      <c r="J581" s="8"/>
      <c r="K581" s="8"/>
      <c r="M581" s="9"/>
      <c r="P581" s="8"/>
      <c r="Q581" s="8"/>
      <c r="U581" s="0" t="str">
        <f aca="false">IF(A581="","",IF(AND(COUNTIF(Students!$A$2:$A$500,B581)=1,COUNTIF($A$2:$A$1000,A581)=1,ISNUMBER(H581),ISNUMBER(FIND("@",I581))),"OK","CHECK"))</f>
        <v/>
      </c>
    </row>
    <row r="582" customFormat="false" ht="15" hidden="false" customHeight="false" outlineLevel="0" collapsed="false">
      <c r="F582" s="7"/>
      <c r="H582" s="9"/>
      <c r="J582" s="8"/>
      <c r="K582" s="8"/>
      <c r="M582" s="9"/>
      <c r="P582" s="8"/>
      <c r="Q582" s="8"/>
      <c r="U582" s="0" t="str">
        <f aca="false">IF(A582="","",IF(AND(COUNTIF(Students!$A$2:$A$500,B582)=1,COUNTIF($A$2:$A$1000,A582)=1,ISNUMBER(H582),ISNUMBER(FIND("@",I582))),"OK","CHECK"))</f>
        <v/>
      </c>
    </row>
    <row r="583" customFormat="false" ht="15" hidden="false" customHeight="false" outlineLevel="0" collapsed="false">
      <c r="F583" s="7"/>
      <c r="H583" s="9"/>
      <c r="J583" s="8"/>
      <c r="K583" s="8"/>
      <c r="M583" s="9"/>
      <c r="P583" s="8"/>
      <c r="Q583" s="8"/>
      <c r="U583" s="0" t="str">
        <f aca="false">IF(A583="","",IF(AND(COUNTIF(Students!$A$2:$A$500,B583)=1,COUNTIF($A$2:$A$1000,A583)=1,ISNUMBER(H583),ISNUMBER(FIND("@",I583))),"OK","CHECK"))</f>
        <v/>
      </c>
    </row>
    <row r="584" customFormat="false" ht="15" hidden="false" customHeight="false" outlineLevel="0" collapsed="false">
      <c r="F584" s="7"/>
      <c r="H584" s="9"/>
      <c r="J584" s="8"/>
      <c r="K584" s="8"/>
      <c r="M584" s="9"/>
      <c r="P584" s="8"/>
      <c r="Q584" s="8"/>
      <c r="U584" s="0" t="str">
        <f aca="false">IF(A584="","",IF(AND(COUNTIF(Students!$A$2:$A$500,B584)=1,COUNTIF($A$2:$A$1000,A584)=1,ISNUMBER(H584),ISNUMBER(FIND("@",I584))),"OK","CHECK"))</f>
        <v/>
      </c>
    </row>
    <row r="585" customFormat="false" ht="15" hidden="false" customHeight="false" outlineLevel="0" collapsed="false">
      <c r="F585" s="7"/>
      <c r="H585" s="9"/>
      <c r="J585" s="8"/>
      <c r="K585" s="8"/>
      <c r="M585" s="9"/>
      <c r="P585" s="8"/>
      <c r="Q585" s="8"/>
      <c r="U585" s="0" t="str">
        <f aca="false">IF(A585="","",IF(AND(COUNTIF(Students!$A$2:$A$500,B585)=1,COUNTIF($A$2:$A$1000,A585)=1,ISNUMBER(H585),ISNUMBER(FIND("@",I585))),"OK","CHECK"))</f>
        <v/>
      </c>
    </row>
    <row r="586" customFormat="false" ht="15" hidden="false" customHeight="false" outlineLevel="0" collapsed="false">
      <c r="F586" s="7"/>
      <c r="H586" s="9"/>
      <c r="J586" s="8"/>
      <c r="K586" s="8"/>
      <c r="M586" s="9"/>
      <c r="P586" s="8"/>
      <c r="Q586" s="8"/>
      <c r="U586" s="0" t="str">
        <f aca="false">IF(A586="","",IF(AND(COUNTIF(Students!$A$2:$A$500,B586)=1,COUNTIF($A$2:$A$1000,A586)=1,ISNUMBER(H586),ISNUMBER(FIND("@",I586))),"OK","CHECK"))</f>
        <v/>
      </c>
    </row>
    <row r="587" customFormat="false" ht="15" hidden="false" customHeight="false" outlineLevel="0" collapsed="false">
      <c r="F587" s="7"/>
      <c r="H587" s="9"/>
      <c r="J587" s="8"/>
      <c r="K587" s="8"/>
      <c r="M587" s="9"/>
      <c r="P587" s="8"/>
      <c r="Q587" s="8"/>
      <c r="U587" s="0" t="str">
        <f aca="false">IF(A587="","",IF(AND(COUNTIF(Students!$A$2:$A$500,B587)=1,COUNTIF($A$2:$A$1000,A587)=1,ISNUMBER(H587),ISNUMBER(FIND("@",I587))),"OK","CHECK"))</f>
        <v/>
      </c>
    </row>
    <row r="588" customFormat="false" ht="15" hidden="false" customHeight="false" outlineLevel="0" collapsed="false">
      <c r="F588" s="7"/>
      <c r="H588" s="9"/>
      <c r="J588" s="8"/>
      <c r="K588" s="8"/>
      <c r="M588" s="9"/>
      <c r="P588" s="8"/>
      <c r="Q588" s="8"/>
      <c r="U588" s="0" t="str">
        <f aca="false">IF(A588="","",IF(AND(COUNTIF(Students!$A$2:$A$500,B588)=1,COUNTIF($A$2:$A$1000,A588)=1,ISNUMBER(H588),ISNUMBER(FIND("@",I588))),"OK","CHECK"))</f>
        <v/>
      </c>
    </row>
    <row r="589" customFormat="false" ht="15" hidden="false" customHeight="false" outlineLevel="0" collapsed="false">
      <c r="F589" s="7"/>
      <c r="H589" s="9"/>
      <c r="J589" s="8"/>
      <c r="K589" s="8"/>
      <c r="M589" s="9"/>
      <c r="P589" s="8"/>
      <c r="Q589" s="8"/>
      <c r="U589" s="0" t="str">
        <f aca="false">IF(A589="","",IF(AND(COUNTIF(Students!$A$2:$A$500,B589)=1,COUNTIF($A$2:$A$1000,A589)=1,ISNUMBER(H589),ISNUMBER(FIND("@",I589))),"OK","CHECK"))</f>
        <v/>
      </c>
    </row>
    <row r="590" customFormat="false" ht="15" hidden="false" customHeight="false" outlineLevel="0" collapsed="false">
      <c r="F590" s="7"/>
      <c r="H590" s="9"/>
      <c r="J590" s="8"/>
      <c r="K590" s="8"/>
      <c r="M590" s="9"/>
      <c r="P590" s="8"/>
      <c r="Q590" s="8"/>
      <c r="U590" s="0" t="str">
        <f aca="false">IF(A590="","",IF(AND(COUNTIF(Students!$A$2:$A$500,B590)=1,COUNTIF($A$2:$A$1000,A590)=1,ISNUMBER(H590),ISNUMBER(FIND("@",I590))),"OK","CHECK"))</f>
        <v/>
      </c>
    </row>
    <row r="591" customFormat="false" ht="15" hidden="false" customHeight="false" outlineLevel="0" collapsed="false">
      <c r="F591" s="7"/>
      <c r="H591" s="9"/>
      <c r="J591" s="8"/>
      <c r="K591" s="8"/>
      <c r="M591" s="9"/>
      <c r="P591" s="8"/>
      <c r="Q591" s="8"/>
      <c r="U591" s="0" t="str">
        <f aca="false">IF(A591="","",IF(AND(COUNTIF(Students!$A$2:$A$500,B591)=1,COUNTIF($A$2:$A$1000,A591)=1,ISNUMBER(H591),ISNUMBER(FIND("@",I591))),"OK","CHECK"))</f>
        <v/>
      </c>
    </row>
    <row r="592" customFormat="false" ht="15" hidden="false" customHeight="false" outlineLevel="0" collapsed="false">
      <c r="F592" s="7"/>
      <c r="H592" s="9"/>
      <c r="J592" s="8"/>
      <c r="K592" s="8"/>
      <c r="M592" s="9"/>
      <c r="P592" s="8"/>
      <c r="Q592" s="8"/>
      <c r="U592" s="0" t="str">
        <f aca="false">IF(A592="","",IF(AND(COUNTIF(Students!$A$2:$A$500,B592)=1,COUNTIF($A$2:$A$1000,A592)=1,ISNUMBER(H592),ISNUMBER(FIND("@",I592))),"OK","CHECK"))</f>
        <v/>
      </c>
    </row>
    <row r="593" customFormat="false" ht="15" hidden="false" customHeight="false" outlineLevel="0" collapsed="false">
      <c r="F593" s="7"/>
      <c r="H593" s="9"/>
      <c r="J593" s="8"/>
      <c r="K593" s="8"/>
      <c r="M593" s="9"/>
      <c r="P593" s="8"/>
      <c r="Q593" s="8"/>
      <c r="U593" s="0" t="str">
        <f aca="false">IF(A593="","",IF(AND(COUNTIF(Students!$A$2:$A$500,B593)=1,COUNTIF($A$2:$A$1000,A593)=1,ISNUMBER(H593),ISNUMBER(FIND("@",I593))),"OK","CHECK"))</f>
        <v/>
      </c>
    </row>
    <row r="594" customFormat="false" ht="15" hidden="false" customHeight="false" outlineLevel="0" collapsed="false">
      <c r="F594" s="7"/>
      <c r="H594" s="9"/>
      <c r="J594" s="8"/>
      <c r="K594" s="8"/>
      <c r="M594" s="9"/>
      <c r="P594" s="8"/>
      <c r="Q594" s="8"/>
      <c r="U594" s="0" t="str">
        <f aca="false">IF(A594="","",IF(AND(COUNTIF(Students!$A$2:$A$500,B594)=1,COUNTIF($A$2:$A$1000,A594)=1,ISNUMBER(H594),ISNUMBER(FIND("@",I594))),"OK","CHECK"))</f>
        <v/>
      </c>
    </row>
    <row r="595" customFormat="false" ht="15" hidden="false" customHeight="false" outlineLevel="0" collapsed="false">
      <c r="F595" s="7"/>
      <c r="H595" s="9"/>
      <c r="J595" s="8"/>
      <c r="K595" s="8"/>
      <c r="M595" s="9"/>
      <c r="P595" s="8"/>
      <c r="Q595" s="8"/>
      <c r="U595" s="0" t="str">
        <f aca="false">IF(A595="","",IF(AND(COUNTIF(Students!$A$2:$A$500,B595)=1,COUNTIF($A$2:$A$1000,A595)=1,ISNUMBER(H595),ISNUMBER(FIND("@",I595))),"OK","CHECK"))</f>
        <v/>
      </c>
    </row>
    <row r="596" customFormat="false" ht="15" hidden="false" customHeight="false" outlineLevel="0" collapsed="false">
      <c r="F596" s="7"/>
      <c r="H596" s="9"/>
      <c r="J596" s="8"/>
      <c r="K596" s="8"/>
      <c r="M596" s="9"/>
      <c r="P596" s="8"/>
      <c r="Q596" s="8"/>
      <c r="U596" s="0" t="str">
        <f aca="false">IF(A596="","",IF(AND(COUNTIF(Students!$A$2:$A$500,B596)=1,COUNTIF($A$2:$A$1000,A596)=1,ISNUMBER(H596),ISNUMBER(FIND("@",I596))),"OK","CHECK"))</f>
        <v/>
      </c>
    </row>
    <row r="597" customFormat="false" ht="15" hidden="false" customHeight="false" outlineLevel="0" collapsed="false">
      <c r="F597" s="7"/>
      <c r="H597" s="9"/>
      <c r="J597" s="8"/>
      <c r="K597" s="8"/>
      <c r="M597" s="9"/>
      <c r="P597" s="8"/>
      <c r="Q597" s="8"/>
      <c r="U597" s="0" t="str">
        <f aca="false">IF(A597="","",IF(AND(COUNTIF(Students!$A$2:$A$500,B597)=1,COUNTIF($A$2:$A$1000,A597)=1,ISNUMBER(H597),ISNUMBER(FIND("@",I597))),"OK","CHECK"))</f>
        <v/>
      </c>
    </row>
    <row r="598" customFormat="false" ht="15" hidden="false" customHeight="false" outlineLevel="0" collapsed="false">
      <c r="F598" s="7"/>
      <c r="H598" s="9"/>
      <c r="J598" s="8"/>
      <c r="K598" s="8"/>
      <c r="M598" s="9"/>
      <c r="P598" s="8"/>
      <c r="Q598" s="8"/>
      <c r="U598" s="0" t="str">
        <f aca="false">IF(A598="","",IF(AND(COUNTIF(Students!$A$2:$A$500,B598)=1,COUNTIF($A$2:$A$1000,A598)=1,ISNUMBER(H598),ISNUMBER(FIND("@",I598))),"OK","CHECK"))</f>
        <v/>
      </c>
    </row>
    <row r="599" customFormat="false" ht="15" hidden="false" customHeight="false" outlineLevel="0" collapsed="false">
      <c r="F599" s="7"/>
      <c r="H599" s="9"/>
      <c r="J599" s="8"/>
      <c r="K599" s="8"/>
      <c r="M599" s="9"/>
      <c r="P599" s="8"/>
      <c r="Q599" s="8"/>
      <c r="U599" s="0" t="str">
        <f aca="false">IF(A599="","",IF(AND(COUNTIF(Students!$A$2:$A$500,B599)=1,COUNTIF($A$2:$A$1000,A599)=1,ISNUMBER(H599),ISNUMBER(FIND("@",I599))),"OK","CHECK"))</f>
        <v/>
      </c>
    </row>
    <row r="600" customFormat="false" ht="15" hidden="false" customHeight="false" outlineLevel="0" collapsed="false">
      <c r="F600" s="7"/>
      <c r="H600" s="9"/>
      <c r="J600" s="8"/>
      <c r="K600" s="8"/>
      <c r="M600" s="9"/>
      <c r="P600" s="8"/>
      <c r="Q600" s="8"/>
      <c r="U600" s="0" t="str">
        <f aca="false">IF(A600="","",IF(AND(COUNTIF(Students!$A$2:$A$500,B600)=1,COUNTIF($A$2:$A$1000,A600)=1,ISNUMBER(H600),ISNUMBER(FIND("@",I600))),"OK","CHECK"))</f>
        <v/>
      </c>
    </row>
    <row r="601" customFormat="false" ht="15" hidden="false" customHeight="false" outlineLevel="0" collapsed="false">
      <c r="F601" s="7"/>
      <c r="H601" s="9"/>
      <c r="J601" s="8"/>
      <c r="K601" s="8"/>
      <c r="M601" s="9"/>
      <c r="P601" s="8"/>
      <c r="Q601" s="8"/>
      <c r="U601" s="0" t="str">
        <f aca="false">IF(A601="","",IF(AND(COUNTIF(Students!$A$2:$A$500,B601)=1,COUNTIF($A$2:$A$1000,A601)=1,ISNUMBER(H601),ISNUMBER(FIND("@",I601))),"OK","CHECK"))</f>
        <v/>
      </c>
    </row>
    <row r="602" customFormat="false" ht="15" hidden="false" customHeight="false" outlineLevel="0" collapsed="false">
      <c r="F602" s="7"/>
      <c r="H602" s="9"/>
      <c r="J602" s="8"/>
      <c r="K602" s="8"/>
      <c r="M602" s="9"/>
      <c r="P602" s="8"/>
      <c r="Q602" s="8"/>
      <c r="U602" s="0" t="str">
        <f aca="false">IF(A602="","",IF(AND(COUNTIF(Students!$A$2:$A$500,B602)=1,COUNTIF($A$2:$A$1000,A602)=1,ISNUMBER(H602),ISNUMBER(FIND("@",I602))),"OK","CHECK"))</f>
        <v/>
      </c>
    </row>
    <row r="603" customFormat="false" ht="15" hidden="false" customHeight="false" outlineLevel="0" collapsed="false">
      <c r="F603" s="7"/>
      <c r="H603" s="9"/>
      <c r="J603" s="8"/>
      <c r="K603" s="8"/>
      <c r="M603" s="9"/>
      <c r="P603" s="8"/>
      <c r="Q603" s="8"/>
      <c r="U603" s="0" t="str">
        <f aca="false">IF(A603="","",IF(AND(COUNTIF(Students!$A$2:$A$500,B603)=1,COUNTIF($A$2:$A$1000,A603)=1,ISNUMBER(H603),ISNUMBER(FIND("@",I603))),"OK","CHECK"))</f>
        <v/>
      </c>
    </row>
    <row r="604" customFormat="false" ht="15" hidden="false" customHeight="false" outlineLevel="0" collapsed="false">
      <c r="F604" s="7"/>
      <c r="H604" s="9"/>
      <c r="J604" s="8"/>
      <c r="K604" s="8"/>
      <c r="M604" s="9"/>
      <c r="P604" s="8"/>
      <c r="Q604" s="8"/>
      <c r="U604" s="0" t="str">
        <f aca="false">IF(A604="","",IF(AND(COUNTIF(Students!$A$2:$A$500,B604)=1,COUNTIF($A$2:$A$1000,A604)=1,ISNUMBER(H604),ISNUMBER(FIND("@",I604))),"OK","CHECK"))</f>
        <v/>
      </c>
    </row>
    <row r="605" customFormat="false" ht="15" hidden="false" customHeight="false" outlineLevel="0" collapsed="false">
      <c r="F605" s="7"/>
      <c r="H605" s="9"/>
      <c r="J605" s="8"/>
      <c r="K605" s="8"/>
      <c r="M605" s="9"/>
      <c r="P605" s="8"/>
      <c r="Q605" s="8"/>
      <c r="U605" s="0" t="str">
        <f aca="false">IF(A605="","",IF(AND(COUNTIF(Students!$A$2:$A$500,B605)=1,COUNTIF($A$2:$A$1000,A605)=1,ISNUMBER(H605),ISNUMBER(FIND("@",I605))),"OK","CHECK"))</f>
        <v/>
      </c>
    </row>
    <row r="606" customFormat="false" ht="15" hidden="false" customHeight="false" outlineLevel="0" collapsed="false">
      <c r="F606" s="7"/>
      <c r="H606" s="9"/>
      <c r="J606" s="8"/>
      <c r="K606" s="8"/>
      <c r="M606" s="9"/>
      <c r="P606" s="8"/>
      <c r="Q606" s="8"/>
      <c r="U606" s="0" t="str">
        <f aca="false">IF(A606="","",IF(AND(COUNTIF(Students!$A$2:$A$500,B606)=1,COUNTIF($A$2:$A$1000,A606)=1,ISNUMBER(H606),ISNUMBER(FIND("@",I606))),"OK","CHECK"))</f>
        <v/>
      </c>
    </row>
    <row r="607" customFormat="false" ht="15" hidden="false" customHeight="false" outlineLevel="0" collapsed="false">
      <c r="F607" s="7"/>
      <c r="H607" s="9"/>
      <c r="J607" s="8"/>
      <c r="K607" s="8"/>
      <c r="M607" s="9"/>
      <c r="P607" s="8"/>
      <c r="Q607" s="8"/>
      <c r="U607" s="0" t="str">
        <f aca="false">IF(A607="","",IF(AND(COUNTIF(Students!$A$2:$A$500,B607)=1,COUNTIF($A$2:$A$1000,A607)=1,ISNUMBER(H607),ISNUMBER(FIND("@",I607))),"OK","CHECK"))</f>
        <v/>
      </c>
    </row>
    <row r="608" customFormat="false" ht="15" hidden="false" customHeight="false" outlineLevel="0" collapsed="false">
      <c r="F608" s="7"/>
      <c r="H608" s="9"/>
      <c r="J608" s="8"/>
      <c r="K608" s="8"/>
      <c r="M608" s="9"/>
      <c r="P608" s="8"/>
      <c r="Q608" s="8"/>
      <c r="U608" s="0" t="str">
        <f aca="false">IF(A608="","",IF(AND(COUNTIF(Students!$A$2:$A$500,B608)=1,COUNTIF($A$2:$A$1000,A608)=1,ISNUMBER(H608),ISNUMBER(FIND("@",I608))),"OK","CHECK"))</f>
        <v/>
      </c>
    </row>
    <row r="609" customFormat="false" ht="15" hidden="false" customHeight="false" outlineLevel="0" collapsed="false">
      <c r="F609" s="7"/>
      <c r="H609" s="9"/>
      <c r="J609" s="8"/>
      <c r="K609" s="8"/>
      <c r="M609" s="9"/>
      <c r="P609" s="8"/>
      <c r="Q609" s="8"/>
      <c r="U609" s="0" t="str">
        <f aca="false">IF(A609="","",IF(AND(COUNTIF(Students!$A$2:$A$500,B609)=1,COUNTIF($A$2:$A$1000,A609)=1,ISNUMBER(H609),ISNUMBER(FIND("@",I609))),"OK","CHECK"))</f>
        <v/>
      </c>
    </row>
    <row r="610" customFormat="false" ht="15" hidden="false" customHeight="false" outlineLevel="0" collapsed="false">
      <c r="F610" s="7"/>
      <c r="H610" s="9"/>
      <c r="J610" s="8"/>
      <c r="K610" s="8"/>
      <c r="M610" s="9"/>
      <c r="P610" s="8"/>
      <c r="Q610" s="8"/>
      <c r="U610" s="0" t="str">
        <f aca="false">IF(A610="","",IF(AND(COUNTIF(Students!$A$2:$A$500,B610)=1,COUNTIF($A$2:$A$1000,A610)=1,ISNUMBER(H610),ISNUMBER(FIND("@",I610))),"OK","CHECK"))</f>
        <v/>
      </c>
    </row>
    <row r="611" customFormat="false" ht="15" hidden="false" customHeight="false" outlineLevel="0" collapsed="false">
      <c r="F611" s="7"/>
      <c r="H611" s="9"/>
      <c r="J611" s="8"/>
      <c r="K611" s="8"/>
      <c r="M611" s="9"/>
      <c r="P611" s="8"/>
      <c r="Q611" s="8"/>
      <c r="U611" s="0" t="str">
        <f aca="false">IF(A611="","",IF(AND(COUNTIF(Students!$A$2:$A$500,B611)=1,COUNTIF($A$2:$A$1000,A611)=1,ISNUMBER(H611),ISNUMBER(FIND("@",I611))),"OK","CHECK"))</f>
        <v/>
      </c>
    </row>
    <row r="612" customFormat="false" ht="15" hidden="false" customHeight="false" outlineLevel="0" collapsed="false">
      <c r="F612" s="7"/>
      <c r="H612" s="9"/>
      <c r="J612" s="8"/>
      <c r="K612" s="8"/>
      <c r="M612" s="9"/>
      <c r="P612" s="8"/>
      <c r="Q612" s="8"/>
      <c r="U612" s="0" t="str">
        <f aca="false">IF(A612="","",IF(AND(COUNTIF(Students!$A$2:$A$500,B612)=1,COUNTIF($A$2:$A$1000,A612)=1,ISNUMBER(H612),ISNUMBER(FIND("@",I612))),"OK","CHECK"))</f>
        <v/>
      </c>
    </row>
    <row r="613" customFormat="false" ht="15" hidden="false" customHeight="false" outlineLevel="0" collapsed="false">
      <c r="F613" s="7"/>
      <c r="H613" s="9"/>
      <c r="J613" s="8"/>
      <c r="K613" s="8"/>
      <c r="M613" s="9"/>
      <c r="P613" s="8"/>
      <c r="Q613" s="8"/>
      <c r="U613" s="0" t="str">
        <f aca="false">IF(A613="","",IF(AND(COUNTIF(Students!$A$2:$A$500,B613)=1,COUNTIF($A$2:$A$1000,A613)=1,ISNUMBER(H613),ISNUMBER(FIND("@",I613))),"OK","CHECK"))</f>
        <v/>
      </c>
    </row>
    <row r="614" customFormat="false" ht="15" hidden="false" customHeight="false" outlineLevel="0" collapsed="false">
      <c r="F614" s="7"/>
      <c r="H614" s="9"/>
      <c r="J614" s="8"/>
      <c r="K614" s="8"/>
      <c r="M614" s="9"/>
      <c r="P614" s="8"/>
      <c r="Q614" s="8"/>
      <c r="U614" s="0" t="str">
        <f aca="false">IF(A614="","",IF(AND(COUNTIF(Students!$A$2:$A$500,B614)=1,COUNTIF($A$2:$A$1000,A614)=1,ISNUMBER(H614),ISNUMBER(FIND("@",I614))),"OK","CHECK"))</f>
        <v/>
      </c>
    </row>
    <row r="615" customFormat="false" ht="15" hidden="false" customHeight="false" outlineLevel="0" collapsed="false">
      <c r="F615" s="7"/>
      <c r="H615" s="9"/>
      <c r="J615" s="8"/>
      <c r="K615" s="8"/>
      <c r="M615" s="9"/>
      <c r="P615" s="8"/>
      <c r="Q615" s="8"/>
      <c r="U615" s="0" t="str">
        <f aca="false">IF(A615="","",IF(AND(COUNTIF(Students!$A$2:$A$500,B615)=1,COUNTIF($A$2:$A$1000,A615)=1,ISNUMBER(H615),ISNUMBER(FIND("@",I615))),"OK","CHECK"))</f>
        <v/>
      </c>
    </row>
    <row r="616" customFormat="false" ht="15" hidden="false" customHeight="false" outlineLevel="0" collapsed="false">
      <c r="F616" s="7"/>
      <c r="H616" s="9"/>
      <c r="J616" s="8"/>
      <c r="K616" s="8"/>
      <c r="M616" s="9"/>
      <c r="P616" s="8"/>
      <c r="Q616" s="8"/>
      <c r="U616" s="0" t="str">
        <f aca="false">IF(A616="","",IF(AND(COUNTIF(Students!$A$2:$A$500,B616)=1,COUNTIF($A$2:$A$1000,A616)=1,ISNUMBER(H616),ISNUMBER(FIND("@",I616))),"OK","CHECK"))</f>
        <v/>
      </c>
    </row>
    <row r="617" customFormat="false" ht="15" hidden="false" customHeight="false" outlineLevel="0" collapsed="false">
      <c r="F617" s="7"/>
      <c r="H617" s="9"/>
      <c r="J617" s="8"/>
      <c r="K617" s="8"/>
      <c r="M617" s="9"/>
      <c r="P617" s="8"/>
      <c r="Q617" s="8"/>
      <c r="U617" s="0" t="str">
        <f aca="false">IF(A617="","",IF(AND(COUNTIF(Students!$A$2:$A$500,B617)=1,COUNTIF($A$2:$A$1000,A617)=1,ISNUMBER(H617),ISNUMBER(FIND("@",I617))),"OK","CHECK"))</f>
        <v/>
      </c>
    </row>
    <row r="618" customFormat="false" ht="15" hidden="false" customHeight="false" outlineLevel="0" collapsed="false">
      <c r="F618" s="7"/>
      <c r="H618" s="9"/>
      <c r="J618" s="8"/>
      <c r="K618" s="8"/>
      <c r="M618" s="9"/>
      <c r="P618" s="8"/>
      <c r="Q618" s="8"/>
      <c r="U618" s="0" t="str">
        <f aca="false">IF(A618="","",IF(AND(COUNTIF(Students!$A$2:$A$500,B618)=1,COUNTIF($A$2:$A$1000,A618)=1,ISNUMBER(H618),ISNUMBER(FIND("@",I618))),"OK","CHECK"))</f>
        <v/>
      </c>
    </row>
    <row r="619" customFormat="false" ht="15" hidden="false" customHeight="false" outlineLevel="0" collapsed="false">
      <c r="F619" s="7"/>
      <c r="H619" s="9"/>
      <c r="J619" s="8"/>
      <c r="K619" s="8"/>
      <c r="M619" s="9"/>
      <c r="P619" s="8"/>
      <c r="Q619" s="8"/>
      <c r="U619" s="0" t="str">
        <f aca="false">IF(A619="","",IF(AND(COUNTIF(Students!$A$2:$A$500,B619)=1,COUNTIF($A$2:$A$1000,A619)=1,ISNUMBER(H619),ISNUMBER(FIND("@",I619))),"OK","CHECK"))</f>
        <v/>
      </c>
    </row>
    <row r="620" customFormat="false" ht="15" hidden="false" customHeight="false" outlineLevel="0" collapsed="false">
      <c r="F620" s="7"/>
      <c r="H620" s="9"/>
      <c r="J620" s="8"/>
      <c r="K620" s="8"/>
      <c r="M620" s="9"/>
      <c r="P620" s="8"/>
      <c r="Q620" s="8"/>
      <c r="U620" s="0" t="str">
        <f aca="false">IF(A620="","",IF(AND(COUNTIF(Students!$A$2:$A$500,B620)=1,COUNTIF($A$2:$A$1000,A620)=1,ISNUMBER(H620),ISNUMBER(FIND("@",I620))),"OK","CHECK"))</f>
        <v/>
      </c>
    </row>
    <row r="621" customFormat="false" ht="15" hidden="false" customHeight="false" outlineLevel="0" collapsed="false">
      <c r="F621" s="7"/>
      <c r="H621" s="9"/>
      <c r="J621" s="8"/>
      <c r="K621" s="8"/>
      <c r="M621" s="9"/>
      <c r="P621" s="8"/>
      <c r="Q621" s="8"/>
      <c r="U621" s="0" t="str">
        <f aca="false">IF(A621="","",IF(AND(COUNTIF(Students!$A$2:$A$500,B621)=1,COUNTIF($A$2:$A$1000,A621)=1,ISNUMBER(H621),ISNUMBER(FIND("@",I621))),"OK","CHECK"))</f>
        <v/>
      </c>
    </row>
    <row r="622" customFormat="false" ht="15" hidden="false" customHeight="false" outlineLevel="0" collapsed="false">
      <c r="F622" s="7"/>
      <c r="H622" s="9"/>
      <c r="J622" s="8"/>
      <c r="K622" s="8"/>
      <c r="M622" s="9"/>
      <c r="P622" s="8"/>
      <c r="Q622" s="8"/>
      <c r="U622" s="0" t="str">
        <f aca="false">IF(A622="","",IF(AND(COUNTIF(Students!$A$2:$A$500,B622)=1,COUNTIF($A$2:$A$1000,A622)=1,ISNUMBER(H622),ISNUMBER(FIND("@",I622))),"OK","CHECK"))</f>
        <v/>
      </c>
    </row>
    <row r="623" customFormat="false" ht="15" hidden="false" customHeight="false" outlineLevel="0" collapsed="false">
      <c r="F623" s="7"/>
      <c r="H623" s="9"/>
      <c r="J623" s="8"/>
      <c r="K623" s="8"/>
      <c r="M623" s="9"/>
      <c r="P623" s="8"/>
      <c r="Q623" s="8"/>
      <c r="U623" s="0" t="str">
        <f aca="false">IF(A623="","",IF(AND(COUNTIF(Students!$A$2:$A$500,B623)=1,COUNTIF($A$2:$A$1000,A623)=1,ISNUMBER(H623),ISNUMBER(FIND("@",I623))),"OK","CHECK"))</f>
        <v/>
      </c>
    </row>
    <row r="624" customFormat="false" ht="15" hidden="false" customHeight="false" outlineLevel="0" collapsed="false">
      <c r="F624" s="7"/>
      <c r="H624" s="9"/>
      <c r="J624" s="8"/>
      <c r="K624" s="8"/>
      <c r="M624" s="9"/>
      <c r="P624" s="8"/>
      <c r="Q624" s="8"/>
      <c r="U624" s="0" t="str">
        <f aca="false">IF(A624="","",IF(AND(COUNTIF(Students!$A$2:$A$500,B624)=1,COUNTIF($A$2:$A$1000,A624)=1,ISNUMBER(H624),ISNUMBER(FIND("@",I624))),"OK","CHECK"))</f>
        <v/>
      </c>
    </row>
    <row r="625" customFormat="false" ht="15" hidden="false" customHeight="false" outlineLevel="0" collapsed="false">
      <c r="F625" s="7"/>
      <c r="H625" s="9"/>
      <c r="J625" s="8"/>
      <c r="K625" s="8"/>
      <c r="M625" s="9"/>
      <c r="P625" s="8"/>
      <c r="Q625" s="8"/>
      <c r="U625" s="0" t="str">
        <f aca="false">IF(A625="","",IF(AND(COUNTIF(Students!$A$2:$A$500,B625)=1,COUNTIF($A$2:$A$1000,A625)=1,ISNUMBER(H625),ISNUMBER(FIND("@",I625))),"OK","CHECK"))</f>
        <v/>
      </c>
    </row>
    <row r="626" customFormat="false" ht="15" hidden="false" customHeight="false" outlineLevel="0" collapsed="false">
      <c r="F626" s="7"/>
      <c r="H626" s="9"/>
      <c r="J626" s="8"/>
      <c r="K626" s="8"/>
      <c r="M626" s="9"/>
      <c r="P626" s="8"/>
      <c r="Q626" s="8"/>
      <c r="U626" s="0" t="str">
        <f aca="false">IF(A626="","",IF(AND(COUNTIF(Students!$A$2:$A$500,B626)=1,COUNTIF($A$2:$A$1000,A626)=1,ISNUMBER(H626),ISNUMBER(FIND("@",I626))),"OK","CHECK"))</f>
        <v/>
      </c>
    </row>
    <row r="627" customFormat="false" ht="15" hidden="false" customHeight="false" outlineLevel="0" collapsed="false">
      <c r="F627" s="7"/>
      <c r="H627" s="9"/>
      <c r="J627" s="8"/>
      <c r="K627" s="8"/>
      <c r="M627" s="9"/>
      <c r="P627" s="8"/>
      <c r="Q627" s="8"/>
      <c r="U627" s="0" t="str">
        <f aca="false">IF(A627="","",IF(AND(COUNTIF(Students!$A$2:$A$500,B627)=1,COUNTIF($A$2:$A$1000,A627)=1,ISNUMBER(H627),ISNUMBER(FIND("@",I627))),"OK","CHECK"))</f>
        <v/>
      </c>
    </row>
    <row r="628" customFormat="false" ht="15" hidden="false" customHeight="false" outlineLevel="0" collapsed="false">
      <c r="F628" s="7"/>
      <c r="H628" s="9"/>
      <c r="J628" s="8"/>
      <c r="K628" s="8"/>
      <c r="M628" s="9"/>
      <c r="P628" s="8"/>
      <c r="Q628" s="8"/>
      <c r="U628" s="0" t="str">
        <f aca="false">IF(A628="","",IF(AND(COUNTIF(Students!$A$2:$A$500,B628)=1,COUNTIF($A$2:$A$1000,A628)=1,ISNUMBER(H628),ISNUMBER(FIND("@",I628))),"OK","CHECK"))</f>
        <v/>
      </c>
    </row>
    <row r="629" customFormat="false" ht="15" hidden="false" customHeight="false" outlineLevel="0" collapsed="false">
      <c r="F629" s="7"/>
      <c r="H629" s="9"/>
      <c r="J629" s="8"/>
      <c r="K629" s="8"/>
      <c r="M629" s="9"/>
      <c r="P629" s="8"/>
      <c r="Q629" s="8"/>
      <c r="U629" s="0" t="str">
        <f aca="false">IF(A629="","",IF(AND(COUNTIF(Students!$A$2:$A$500,B629)=1,COUNTIF($A$2:$A$1000,A629)=1,ISNUMBER(H629),ISNUMBER(FIND("@",I629))),"OK","CHECK"))</f>
        <v/>
      </c>
    </row>
    <row r="630" customFormat="false" ht="15" hidden="false" customHeight="false" outlineLevel="0" collapsed="false">
      <c r="F630" s="7"/>
      <c r="H630" s="9"/>
      <c r="J630" s="8"/>
      <c r="K630" s="8"/>
      <c r="M630" s="9"/>
      <c r="P630" s="8"/>
      <c r="Q630" s="8"/>
      <c r="U630" s="0" t="str">
        <f aca="false">IF(A630="","",IF(AND(COUNTIF(Students!$A$2:$A$500,B630)=1,COUNTIF($A$2:$A$1000,A630)=1,ISNUMBER(H630),ISNUMBER(FIND("@",I630))),"OK","CHECK"))</f>
        <v/>
      </c>
    </row>
    <row r="631" customFormat="false" ht="15" hidden="false" customHeight="false" outlineLevel="0" collapsed="false">
      <c r="F631" s="7"/>
      <c r="H631" s="9"/>
      <c r="J631" s="8"/>
      <c r="K631" s="8"/>
      <c r="M631" s="9"/>
      <c r="P631" s="8"/>
      <c r="Q631" s="8"/>
      <c r="U631" s="0" t="str">
        <f aca="false">IF(A631="","",IF(AND(COUNTIF(Students!$A$2:$A$500,B631)=1,COUNTIF($A$2:$A$1000,A631)=1,ISNUMBER(H631),ISNUMBER(FIND("@",I631))),"OK","CHECK"))</f>
        <v/>
      </c>
    </row>
    <row r="632" customFormat="false" ht="15" hidden="false" customHeight="false" outlineLevel="0" collapsed="false">
      <c r="F632" s="7"/>
      <c r="H632" s="9"/>
      <c r="J632" s="8"/>
      <c r="K632" s="8"/>
      <c r="M632" s="9"/>
      <c r="P632" s="8"/>
      <c r="Q632" s="8"/>
      <c r="U632" s="0" t="str">
        <f aca="false">IF(A632="","",IF(AND(COUNTIF(Students!$A$2:$A$500,B632)=1,COUNTIF($A$2:$A$1000,A632)=1,ISNUMBER(H632),ISNUMBER(FIND("@",I632))),"OK","CHECK"))</f>
        <v/>
      </c>
    </row>
    <row r="633" customFormat="false" ht="15" hidden="false" customHeight="false" outlineLevel="0" collapsed="false">
      <c r="F633" s="7"/>
      <c r="H633" s="9"/>
      <c r="J633" s="8"/>
      <c r="K633" s="8"/>
      <c r="M633" s="9"/>
      <c r="P633" s="8"/>
      <c r="Q633" s="8"/>
      <c r="U633" s="0" t="str">
        <f aca="false">IF(A633="","",IF(AND(COUNTIF(Students!$A$2:$A$500,B633)=1,COUNTIF($A$2:$A$1000,A633)=1,ISNUMBER(H633),ISNUMBER(FIND("@",I633))),"OK","CHECK"))</f>
        <v/>
      </c>
    </row>
    <row r="634" customFormat="false" ht="15" hidden="false" customHeight="false" outlineLevel="0" collapsed="false">
      <c r="F634" s="7"/>
      <c r="H634" s="9"/>
      <c r="J634" s="8"/>
      <c r="K634" s="8"/>
      <c r="M634" s="9"/>
      <c r="P634" s="8"/>
      <c r="Q634" s="8"/>
      <c r="U634" s="0" t="str">
        <f aca="false">IF(A634="","",IF(AND(COUNTIF(Students!$A$2:$A$500,B634)=1,COUNTIF($A$2:$A$1000,A634)=1,ISNUMBER(H634),ISNUMBER(FIND("@",I634))),"OK","CHECK"))</f>
        <v/>
      </c>
    </row>
    <row r="635" customFormat="false" ht="15" hidden="false" customHeight="false" outlineLevel="0" collapsed="false">
      <c r="F635" s="7"/>
      <c r="H635" s="9"/>
      <c r="J635" s="8"/>
      <c r="K635" s="8"/>
      <c r="M635" s="9"/>
      <c r="P635" s="8"/>
      <c r="Q635" s="8"/>
      <c r="U635" s="0" t="str">
        <f aca="false">IF(A635="","",IF(AND(COUNTIF(Students!$A$2:$A$500,B635)=1,COUNTIF($A$2:$A$1000,A635)=1,ISNUMBER(H635),ISNUMBER(FIND("@",I635))),"OK","CHECK"))</f>
        <v/>
      </c>
    </row>
    <row r="636" customFormat="false" ht="15" hidden="false" customHeight="false" outlineLevel="0" collapsed="false">
      <c r="F636" s="7"/>
      <c r="H636" s="9"/>
      <c r="J636" s="8"/>
      <c r="K636" s="8"/>
      <c r="M636" s="9"/>
      <c r="P636" s="8"/>
      <c r="Q636" s="8"/>
      <c r="U636" s="0" t="str">
        <f aca="false">IF(A636="","",IF(AND(COUNTIF(Students!$A$2:$A$500,B636)=1,COUNTIF($A$2:$A$1000,A636)=1,ISNUMBER(H636),ISNUMBER(FIND("@",I636))),"OK","CHECK"))</f>
        <v/>
      </c>
    </row>
    <row r="637" customFormat="false" ht="15" hidden="false" customHeight="false" outlineLevel="0" collapsed="false">
      <c r="F637" s="7"/>
      <c r="H637" s="9"/>
      <c r="J637" s="8"/>
      <c r="K637" s="8"/>
      <c r="M637" s="9"/>
      <c r="P637" s="8"/>
      <c r="Q637" s="8"/>
      <c r="U637" s="0" t="str">
        <f aca="false">IF(A637="","",IF(AND(COUNTIF(Students!$A$2:$A$500,B637)=1,COUNTIF($A$2:$A$1000,A637)=1,ISNUMBER(H637),ISNUMBER(FIND("@",I637))),"OK","CHECK"))</f>
        <v/>
      </c>
    </row>
    <row r="638" customFormat="false" ht="15" hidden="false" customHeight="false" outlineLevel="0" collapsed="false">
      <c r="F638" s="7"/>
      <c r="H638" s="9"/>
      <c r="J638" s="8"/>
      <c r="K638" s="8"/>
      <c r="M638" s="9"/>
      <c r="P638" s="8"/>
      <c r="Q638" s="8"/>
      <c r="U638" s="0" t="str">
        <f aca="false">IF(A638="","",IF(AND(COUNTIF(Students!$A$2:$A$500,B638)=1,COUNTIF($A$2:$A$1000,A638)=1,ISNUMBER(H638),ISNUMBER(FIND("@",I638))),"OK","CHECK"))</f>
        <v/>
      </c>
    </row>
    <row r="639" customFormat="false" ht="15" hidden="false" customHeight="false" outlineLevel="0" collapsed="false">
      <c r="F639" s="7"/>
      <c r="H639" s="9"/>
      <c r="J639" s="8"/>
      <c r="K639" s="8"/>
      <c r="M639" s="9"/>
      <c r="P639" s="8"/>
      <c r="Q639" s="8"/>
      <c r="U639" s="0" t="str">
        <f aca="false">IF(A639="","",IF(AND(COUNTIF(Students!$A$2:$A$500,B639)=1,COUNTIF($A$2:$A$1000,A639)=1,ISNUMBER(H639),ISNUMBER(FIND("@",I639))),"OK","CHECK"))</f>
        <v/>
      </c>
    </row>
    <row r="640" customFormat="false" ht="15" hidden="false" customHeight="false" outlineLevel="0" collapsed="false">
      <c r="F640" s="7"/>
      <c r="H640" s="9"/>
      <c r="J640" s="8"/>
      <c r="K640" s="8"/>
      <c r="M640" s="9"/>
      <c r="P640" s="8"/>
      <c r="Q640" s="8"/>
      <c r="U640" s="0" t="str">
        <f aca="false">IF(A640="","",IF(AND(COUNTIF(Students!$A$2:$A$500,B640)=1,COUNTIF($A$2:$A$1000,A640)=1,ISNUMBER(H640),ISNUMBER(FIND("@",I640))),"OK","CHECK"))</f>
        <v/>
      </c>
    </row>
    <row r="641" customFormat="false" ht="15" hidden="false" customHeight="false" outlineLevel="0" collapsed="false">
      <c r="F641" s="7"/>
      <c r="H641" s="9"/>
      <c r="J641" s="8"/>
      <c r="K641" s="8"/>
      <c r="M641" s="9"/>
      <c r="P641" s="8"/>
      <c r="Q641" s="8"/>
      <c r="U641" s="0" t="str">
        <f aca="false">IF(A641="","",IF(AND(COUNTIF(Students!$A$2:$A$500,B641)=1,COUNTIF($A$2:$A$1000,A641)=1,ISNUMBER(H641),ISNUMBER(FIND("@",I641))),"OK","CHECK"))</f>
        <v/>
      </c>
    </row>
    <row r="642" customFormat="false" ht="15" hidden="false" customHeight="false" outlineLevel="0" collapsed="false">
      <c r="F642" s="7"/>
      <c r="H642" s="9"/>
      <c r="J642" s="8"/>
      <c r="K642" s="8"/>
      <c r="M642" s="9"/>
      <c r="P642" s="8"/>
      <c r="Q642" s="8"/>
      <c r="U642" s="0" t="str">
        <f aca="false">IF(A642="","",IF(AND(COUNTIF(Students!$A$2:$A$500,B642)=1,COUNTIF($A$2:$A$1000,A642)=1,ISNUMBER(H642),ISNUMBER(FIND("@",I642))),"OK","CHECK"))</f>
        <v/>
      </c>
    </row>
    <row r="643" customFormat="false" ht="15" hidden="false" customHeight="false" outlineLevel="0" collapsed="false">
      <c r="F643" s="7"/>
      <c r="H643" s="9"/>
      <c r="J643" s="8"/>
      <c r="K643" s="8"/>
      <c r="M643" s="9"/>
      <c r="P643" s="8"/>
      <c r="Q643" s="8"/>
      <c r="U643" s="0" t="str">
        <f aca="false">IF(A643="","",IF(AND(COUNTIF(Students!$A$2:$A$500,B643)=1,COUNTIF($A$2:$A$1000,A643)=1,ISNUMBER(H643),ISNUMBER(FIND("@",I643))),"OK","CHECK"))</f>
        <v/>
      </c>
    </row>
    <row r="644" customFormat="false" ht="15" hidden="false" customHeight="false" outlineLevel="0" collapsed="false">
      <c r="F644" s="7"/>
      <c r="H644" s="9"/>
      <c r="J644" s="8"/>
      <c r="K644" s="8"/>
      <c r="M644" s="9"/>
      <c r="P644" s="8"/>
      <c r="Q644" s="8"/>
      <c r="U644" s="0" t="str">
        <f aca="false">IF(A644="","",IF(AND(COUNTIF(Students!$A$2:$A$500,B644)=1,COUNTIF($A$2:$A$1000,A644)=1,ISNUMBER(H644),ISNUMBER(FIND("@",I644))),"OK","CHECK"))</f>
        <v/>
      </c>
    </row>
    <row r="645" customFormat="false" ht="15" hidden="false" customHeight="false" outlineLevel="0" collapsed="false">
      <c r="F645" s="7"/>
      <c r="H645" s="9"/>
      <c r="J645" s="8"/>
      <c r="K645" s="8"/>
      <c r="M645" s="9"/>
      <c r="P645" s="8"/>
      <c r="Q645" s="8"/>
      <c r="U645" s="0" t="str">
        <f aca="false">IF(A645="","",IF(AND(COUNTIF(Students!$A$2:$A$500,B645)=1,COUNTIF($A$2:$A$1000,A645)=1,ISNUMBER(H645),ISNUMBER(FIND("@",I645))),"OK","CHECK"))</f>
        <v/>
      </c>
    </row>
    <row r="646" customFormat="false" ht="15" hidden="false" customHeight="false" outlineLevel="0" collapsed="false">
      <c r="F646" s="7"/>
      <c r="H646" s="9"/>
      <c r="J646" s="8"/>
      <c r="K646" s="8"/>
      <c r="M646" s="9"/>
      <c r="P646" s="8"/>
      <c r="Q646" s="8"/>
      <c r="U646" s="0" t="str">
        <f aca="false">IF(A646="","",IF(AND(COUNTIF(Students!$A$2:$A$500,B646)=1,COUNTIF($A$2:$A$1000,A646)=1,ISNUMBER(H646),ISNUMBER(FIND("@",I646))),"OK","CHECK"))</f>
        <v/>
      </c>
    </row>
    <row r="647" customFormat="false" ht="15" hidden="false" customHeight="false" outlineLevel="0" collapsed="false">
      <c r="F647" s="7"/>
      <c r="H647" s="9"/>
      <c r="J647" s="8"/>
      <c r="K647" s="8"/>
      <c r="M647" s="9"/>
      <c r="P647" s="8"/>
      <c r="Q647" s="8"/>
      <c r="U647" s="0" t="str">
        <f aca="false">IF(A647="","",IF(AND(COUNTIF(Students!$A$2:$A$500,B647)=1,COUNTIF($A$2:$A$1000,A647)=1,ISNUMBER(H647),ISNUMBER(FIND("@",I647))),"OK","CHECK"))</f>
        <v/>
      </c>
    </row>
    <row r="648" customFormat="false" ht="15" hidden="false" customHeight="false" outlineLevel="0" collapsed="false">
      <c r="F648" s="7"/>
      <c r="H648" s="9"/>
      <c r="J648" s="8"/>
      <c r="K648" s="8"/>
      <c r="M648" s="9"/>
      <c r="P648" s="8"/>
      <c r="Q648" s="8"/>
      <c r="U648" s="0" t="str">
        <f aca="false">IF(A648="","",IF(AND(COUNTIF(Students!$A$2:$A$500,B648)=1,COUNTIF($A$2:$A$1000,A648)=1,ISNUMBER(H648),ISNUMBER(FIND("@",I648))),"OK","CHECK"))</f>
        <v/>
      </c>
    </row>
    <row r="649" customFormat="false" ht="15" hidden="false" customHeight="false" outlineLevel="0" collapsed="false">
      <c r="F649" s="7"/>
      <c r="H649" s="9"/>
      <c r="J649" s="8"/>
      <c r="K649" s="8"/>
      <c r="M649" s="9"/>
      <c r="P649" s="8"/>
      <c r="Q649" s="8"/>
      <c r="U649" s="0" t="str">
        <f aca="false">IF(A649="","",IF(AND(COUNTIF(Students!$A$2:$A$500,B649)=1,COUNTIF($A$2:$A$1000,A649)=1,ISNUMBER(H649),ISNUMBER(FIND("@",I649))),"OK","CHECK"))</f>
        <v/>
      </c>
    </row>
    <row r="650" customFormat="false" ht="15" hidden="false" customHeight="false" outlineLevel="0" collapsed="false">
      <c r="F650" s="7"/>
      <c r="H650" s="9"/>
      <c r="J650" s="8"/>
      <c r="K650" s="8"/>
      <c r="M650" s="9"/>
      <c r="P650" s="8"/>
      <c r="Q650" s="8"/>
      <c r="U650" s="0" t="str">
        <f aca="false">IF(A650="","",IF(AND(COUNTIF(Students!$A$2:$A$500,B650)=1,COUNTIF($A$2:$A$1000,A650)=1,ISNUMBER(H650),ISNUMBER(FIND("@",I650))),"OK","CHECK"))</f>
        <v/>
      </c>
    </row>
    <row r="651" customFormat="false" ht="15" hidden="false" customHeight="false" outlineLevel="0" collapsed="false">
      <c r="F651" s="7"/>
      <c r="H651" s="9"/>
      <c r="J651" s="8"/>
      <c r="K651" s="8"/>
      <c r="M651" s="9"/>
      <c r="P651" s="8"/>
      <c r="Q651" s="8"/>
      <c r="U651" s="0" t="str">
        <f aca="false">IF(A651="","",IF(AND(COUNTIF(Students!$A$2:$A$500,B651)=1,COUNTIF($A$2:$A$1000,A651)=1,ISNUMBER(H651),ISNUMBER(FIND("@",I651))),"OK","CHECK"))</f>
        <v/>
      </c>
    </row>
    <row r="652" customFormat="false" ht="15" hidden="false" customHeight="false" outlineLevel="0" collapsed="false">
      <c r="F652" s="7"/>
      <c r="H652" s="9"/>
      <c r="J652" s="8"/>
      <c r="K652" s="8"/>
      <c r="M652" s="9"/>
      <c r="P652" s="8"/>
      <c r="Q652" s="8"/>
      <c r="U652" s="0" t="str">
        <f aca="false">IF(A652="","",IF(AND(COUNTIF(Students!$A$2:$A$500,B652)=1,COUNTIF($A$2:$A$1000,A652)=1,ISNUMBER(H652),ISNUMBER(FIND("@",I652))),"OK","CHECK"))</f>
        <v/>
      </c>
    </row>
    <row r="653" customFormat="false" ht="15" hidden="false" customHeight="false" outlineLevel="0" collapsed="false">
      <c r="F653" s="7"/>
      <c r="H653" s="9"/>
      <c r="J653" s="8"/>
      <c r="K653" s="8"/>
      <c r="M653" s="9"/>
      <c r="P653" s="8"/>
      <c r="Q653" s="8"/>
      <c r="U653" s="0" t="str">
        <f aca="false">IF(A653="","",IF(AND(COUNTIF(Students!$A$2:$A$500,B653)=1,COUNTIF($A$2:$A$1000,A653)=1,ISNUMBER(H653),ISNUMBER(FIND("@",I653))),"OK","CHECK"))</f>
        <v/>
      </c>
    </row>
    <row r="654" customFormat="false" ht="15" hidden="false" customHeight="false" outlineLevel="0" collapsed="false">
      <c r="F654" s="7"/>
      <c r="H654" s="9"/>
      <c r="J654" s="8"/>
      <c r="K654" s="8"/>
      <c r="M654" s="9"/>
      <c r="P654" s="8"/>
      <c r="Q654" s="8"/>
      <c r="U654" s="0" t="str">
        <f aca="false">IF(A654="","",IF(AND(COUNTIF(Students!$A$2:$A$500,B654)=1,COUNTIF($A$2:$A$1000,A654)=1,ISNUMBER(H654),ISNUMBER(FIND("@",I654))),"OK","CHECK"))</f>
        <v/>
      </c>
    </row>
    <row r="655" customFormat="false" ht="15" hidden="false" customHeight="false" outlineLevel="0" collapsed="false">
      <c r="F655" s="7"/>
      <c r="H655" s="9"/>
      <c r="J655" s="8"/>
      <c r="K655" s="8"/>
      <c r="M655" s="9"/>
      <c r="P655" s="8"/>
      <c r="Q655" s="8"/>
      <c r="U655" s="0" t="str">
        <f aca="false">IF(A655="","",IF(AND(COUNTIF(Students!$A$2:$A$500,B655)=1,COUNTIF($A$2:$A$1000,A655)=1,ISNUMBER(H655),ISNUMBER(FIND("@",I655))),"OK","CHECK"))</f>
        <v/>
      </c>
    </row>
    <row r="656" customFormat="false" ht="15" hidden="false" customHeight="false" outlineLevel="0" collapsed="false">
      <c r="F656" s="7"/>
      <c r="H656" s="9"/>
      <c r="J656" s="8"/>
      <c r="K656" s="8"/>
      <c r="M656" s="9"/>
      <c r="P656" s="8"/>
      <c r="Q656" s="8"/>
      <c r="U656" s="0" t="str">
        <f aca="false">IF(A656="","",IF(AND(COUNTIF(Students!$A$2:$A$500,B656)=1,COUNTIF($A$2:$A$1000,A656)=1,ISNUMBER(H656),ISNUMBER(FIND("@",I656))),"OK","CHECK"))</f>
        <v/>
      </c>
    </row>
    <row r="657" customFormat="false" ht="15" hidden="false" customHeight="false" outlineLevel="0" collapsed="false">
      <c r="F657" s="7"/>
      <c r="H657" s="9"/>
      <c r="J657" s="8"/>
      <c r="K657" s="8"/>
      <c r="M657" s="9"/>
      <c r="P657" s="8"/>
      <c r="Q657" s="8"/>
      <c r="U657" s="0" t="str">
        <f aca="false">IF(A657="","",IF(AND(COUNTIF(Students!$A$2:$A$500,B657)=1,COUNTIF($A$2:$A$1000,A657)=1,ISNUMBER(H657),ISNUMBER(FIND("@",I657))),"OK","CHECK"))</f>
        <v/>
      </c>
    </row>
    <row r="658" customFormat="false" ht="15" hidden="false" customHeight="false" outlineLevel="0" collapsed="false">
      <c r="F658" s="7"/>
      <c r="H658" s="9"/>
      <c r="J658" s="8"/>
      <c r="K658" s="8"/>
      <c r="M658" s="9"/>
      <c r="P658" s="8"/>
      <c r="Q658" s="8"/>
      <c r="U658" s="0" t="str">
        <f aca="false">IF(A658="","",IF(AND(COUNTIF(Students!$A$2:$A$500,B658)=1,COUNTIF($A$2:$A$1000,A658)=1,ISNUMBER(H658),ISNUMBER(FIND("@",I658))),"OK","CHECK"))</f>
        <v/>
      </c>
    </row>
    <row r="659" customFormat="false" ht="15" hidden="false" customHeight="false" outlineLevel="0" collapsed="false">
      <c r="F659" s="7"/>
      <c r="H659" s="9"/>
      <c r="J659" s="8"/>
      <c r="K659" s="8"/>
      <c r="M659" s="9"/>
      <c r="P659" s="8"/>
      <c r="Q659" s="8"/>
      <c r="U659" s="0" t="str">
        <f aca="false">IF(A659="","",IF(AND(COUNTIF(Students!$A$2:$A$500,B659)=1,COUNTIF($A$2:$A$1000,A659)=1,ISNUMBER(H659),ISNUMBER(FIND("@",I659))),"OK","CHECK"))</f>
        <v/>
      </c>
    </row>
    <row r="660" customFormat="false" ht="15" hidden="false" customHeight="false" outlineLevel="0" collapsed="false">
      <c r="F660" s="7"/>
      <c r="H660" s="9"/>
      <c r="J660" s="8"/>
      <c r="K660" s="8"/>
      <c r="M660" s="9"/>
      <c r="P660" s="8"/>
      <c r="Q660" s="8"/>
      <c r="U660" s="0" t="str">
        <f aca="false">IF(A660="","",IF(AND(COUNTIF(Students!$A$2:$A$500,B660)=1,COUNTIF($A$2:$A$1000,A660)=1,ISNUMBER(H660),ISNUMBER(FIND("@",I660))),"OK","CHECK"))</f>
        <v/>
      </c>
    </row>
    <row r="661" customFormat="false" ht="15" hidden="false" customHeight="false" outlineLevel="0" collapsed="false">
      <c r="F661" s="7"/>
      <c r="H661" s="9"/>
      <c r="J661" s="8"/>
      <c r="K661" s="8"/>
      <c r="M661" s="9"/>
      <c r="P661" s="8"/>
      <c r="Q661" s="8"/>
      <c r="U661" s="0" t="str">
        <f aca="false">IF(A661="","",IF(AND(COUNTIF(Students!$A$2:$A$500,B661)=1,COUNTIF($A$2:$A$1000,A661)=1,ISNUMBER(H661),ISNUMBER(FIND("@",I661))),"OK","CHECK"))</f>
        <v/>
      </c>
    </row>
    <row r="662" customFormat="false" ht="15" hidden="false" customHeight="false" outlineLevel="0" collapsed="false">
      <c r="F662" s="7"/>
      <c r="H662" s="9"/>
      <c r="J662" s="8"/>
      <c r="K662" s="8"/>
      <c r="M662" s="9"/>
      <c r="P662" s="8"/>
      <c r="Q662" s="8"/>
      <c r="U662" s="0" t="str">
        <f aca="false">IF(A662="","",IF(AND(COUNTIF(Students!$A$2:$A$500,B662)=1,COUNTIF($A$2:$A$1000,A662)=1,ISNUMBER(H662),ISNUMBER(FIND("@",I662))),"OK","CHECK"))</f>
        <v/>
      </c>
    </row>
    <row r="663" customFormat="false" ht="15" hidden="false" customHeight="false" outlineLevel="0" collapsed="false">
      <c r="F663" s="7"/>
      <c r="H663" s="9"/>
      <c r="J663" s="8"/>
      <c r="K663" s="8"/>
      <c r="M663" s="9"/>
      <c r="P663" s="8"/>
      <c r="Q663" s="8"/>
      <c r="U663" s="0" t="str">
        <f aca="false">IF(A663="","",IF(AND(COUNTIF(Students!$A$2:$A$500,B663)=1,COUNTIF($A$2:$A$1000,A663)=1,ISNUMBER(H663),ISNUMBER(FIND("@",I663))),"OK","CHECK"))</f>
        <v/>
      </c>
    </row>
    <row r="664" customFormat="false" ht="15" hidden="false" customHeight="false" outlineLevel="0" collapsed="false">
      <c r="F664" s="7"/>
      <c r="H664" s="9"/>
      <c r="J664" s="8"/>
      <c r="K664" s="8"/>
      <c r="M664" s="9"/>
      <c r="P664" s="8"/>
      <c r="Q664" s="8"/>
      <c r="U664" s="0" t="str">
        <f aca="false">IF(A664="","",IF(AND(COUNTIF(Students!$A$2:$A$500,B664)=1,COUNTIF($A$2:$A$1000,A664)=1,ISNUMBER(H664),ISNUMBER(FIND("@",I664))),"OK","CHECK"))</f>
        <v/>
      </c>
    </row>
    <row r="665" customFormat="false" ht="15" hidden="false" customHeight="false" outlineLevel="0" collapsed="false">
      <c r="F665" s="7"/>
      <c r="H665" s="9"/>
      <c r="J665" s="8"/>
      <c r="K665" s="8"/>
      <c r="M665" s="9"/>
      <c r="P665" s="8"/>
      <c r="Q665" s="8"/>
      <c r="U665" s="0" t="str">
        <f aca="false">IF(A665="","",IF(AND(COUNTIF(Students!$A$2:$A$500,B665)=1,COUNTIF($A$2:$A$1000,A665)=1,ISNUMBER(H665),ISNUMBER(FIND("@",I665))),"OK","CHECK"))</f>
        <v/>
      </c>
    </row>
    <row r="666" customFormat="false" ht="15" hidden="false" customHeight="false" outlineLevel="0" collapsed="false">
      <c r="F666" s="7"/>
      <c r="H666" s="9"/>
      <c r="J666" s="8"/>
      <c r="K666" s="8"/>
      <c r="M666" s="9"/>
      <c r="P666" s="8"/>
      <c r="Q666" s="8"/>
      <c r="U666" s="0" t="str">
        <f aca="false">IF(A666="","",IF(AND(COUNTIF(Students!$A$2:$A$500,B666)=1,COUNTIF($A$2:$A$1000,A666)=1,ISNUMBER(H666),ISNUMBER(FIND("@",I666))),"OK","CHECK"))</f>
        <v/>
      </c>
    </row>
    <row r="667" customFormat="false" ht="15" hidden="false" customHeight="false" outlineLevel="0" collapsed="false">
      <c r="F667" s="7"/>
      <c r="H667" s="9"/>
      <c r="J667" s="8"/>
      <c r="K667" s="8"/>
      <c r="M667" s="9"/>
      <c r="P667" s="8"/>
      <c r="Q667" s="8"/>
      <c r="U667" s="0" t="str">
        <f aca="false">IF(A667="","",IF(AND(COUNTIF(Students!$A$2:$A$500,B667)=1,COUNTIF($A$2:$A$1000,A667)=1,ISNUMBER(H667),ISNUMBER(FIND("@",I667))),"OK","CHECK"))</f>
        <v/>
      </c>
    </row>
    <row r="668" customFormat="false" ht="15" hidden="false" customHeight="false" outlineLevel="0" collapsed="false">
      <c r="F668" s="7"/>
      <c r="H668" s="9"/>
      <c r="J668" s="8"/>
      <c r="K668" s="8"/>
      <c r="M668" s="9"/>
      <c r="P668" s="8"/>
      <c r="Q668" s="8"/>
      <c r="U668" s="0" t="str">
        <f aca="false">IF(A668="","",IF(AND(COUNTIF(Students!$A$2:$A$500,B668)=1,COUNTIF($A$2:$A$1000,A668)=1,ISNUMBER(H668),ISNUMBER(FIND("@",I668))),"OK","CHECK"))</f>
        <v/>
      </c>
    </row>
    <row r="669" customFormat="false" ht="15" hidden="false" customHeight="false" outlineLevel="0" collapsed="false">
      <c r="F669" s="7"/>
      <c r="H669" s="9"/>
      <c r="J669" s="8"/>
      <c r="K669" s="8"/>
      <c r="M669" s="9"/>
      <c r="P669" s="8"/>
      <c r="Q669" s="8"/>
      <c r="U669" s="0" t="str">
        <f aca="false">IF(A669="","",IF(AND(COUNTIF(Students!$A$2:$A$500,B669)=1,COUNTIF($A$2:$A$1000,A669)=1,ISNUMBER(H669),ISNUMBER(FIND("@",I669))),"OK","CHECK"))</f>
        <v/>
      </c>
    </row>
    <row r="670" customFormat="false" ht="15" hidden="false" customHeight="false" outlineLevel="0" collapsed="false">
      <c r="F670" s="7"/>
      <c r="H670" s="9"/>
      <c r="J670" s="8"/>
      <c r="K670" s="8"/>
      <c r="M670" s="9"/>
      <c r="P670" s="8"/>
      <c r="Q670" s="8"/>
      <c r="U670" s="0" t="str">
        <f aca="false">IF(A670="","",IF(AND(COUNTIF(Students!$A$2:$A$500,B670)=1,COUNTIF($A$2:$A$1000,A670)=1,ISNUMBER(H670),ISNUMBER(FIND("@",I670))),"OK","CHECK"))</f>
        <v/>
      </c>
    </row>
    <row r="671" customFormat="false" ht="15" hidden="false" customHeight="false" outlineLevel="0" collapsed="false">
      <c r="F671" s="7"/>
      <c r="H671" s="9"/>
      <c r="J671" s="8"/>
      <c r="K671" s="8"/>
      <c r="M671" s="9"/>
      <c r="P671" s="8"/>
      <c r="Q671" s="8"/>
      <c r="U671" s="0" t="str">
        <f aca="false">IF(A671="","",IF(AND(COUNTIF(Students!$A$2:$A$500,B671)=1,COUNTIF($A$2:$A$1000,A671)=1,ISNUMBER(H671),ISNUMBER(FIND("@",I671))),"OK","CHECK"))</f>
        <v/>
      </c>
    </row>
    <row r="672" customFormat="false" ht="15" hidden="false" customHeight="false" outlineLevel="0" collapsed="false">
      <c r="F672" s="7"/>
      <c r="H672" s="9"/>
      <c r="J672" s="8"/>
      <c r="K672" s="8"/>
      <c r="M672" s="9"/>
      <c r="P672" s="8"/>
      <c r="Q672" s="8"/>
      <c r="U672" s="0" t="str">
        <f aca="false">IF(A672="","",IF(AND(COUNTIF(Students!$A$2:$A$500,B672)=1,COUNTIF($A$2:$A$1000,A672)=1,ISNUMBER(H672),ISNUMBER(FIND("@",I672))),"OK","CHECK"))</f>
        <v/>
      </c>
    </row>
    <row r="673" customFormat="false" ht="15" hidden="false" customHeight="false" outlineLevel="0" collapsed="false">
      <c r="F673" s="7"/>
      <c r="H673" s="9"/>
      <c r="J673" s="8"/>
      <c r="K673" s="8"/>
      <c r="M673" s="9"/>
      <c r="P673" s="8"/>
      <c r="Q673" s="8"/>
      <c r="U673" s="0" t="str">
        <f aca="false">IF(A673="","",IF(AND(COUNTIF(Students!$A$2:$A$500,B673)=1,COUNTIF($A$2:$A$1000,A673)=1,ISNUMBER(H673),ISNUMBER(FIND("@",I673))),"OK","CHECK"))</f>
        <v/>
      </c>
    </row>
    <row r="674" customFormat="false" ht="15" hidden="false" customHeight="false" outlineLevel="0" collapsed="false">
      <c r="F674" s="7"/>
      <c r="H674" s="9"/>
      <c r="J674" s="8"/>
      <c r="K674" s="8"/>
      <c r="M674" s="9"/>
      <c r="P674" s="8"/>
      <c r="Q674" s="8"/>
      <c r="U674" s="0" t="str">
        <f aca="false">IF(A674="","",IF(AND(COUNTIF(Students!$A$2:$A$500,B674)=1,COUNTIF($A$2:$A$1000,A674)=1,ISNUMBER(H674),ISNUMBER(FIND("@",I674))),"OK","CHECK"))</f>
        <v/>
      </c>
    </row>
    <row r="675" customFormat="false" ht="15" hidden="false" customHeight="false" outlineLevel="0" collapsed="false">
      <c r="F675" s="7"/>
      <c r="H675" s="9"/>
      <c r="J675" s="8"/>
      <c r="K675" s="8"/>
      <c r="M675" s="9"/>
      <c r="P675" s="8"/>
      <c r="Q675" s="8"/>
      <c r="U675" s="0" t="str">
        <f aca="false">IF(A675="","",IF(AND(COUNTIF(Students!$A$2:$A$500,B675)=1,COUNTIF($A$2:$A$1000,A675)=1,ISNUMBER(H675),ISNUMBER(FIND("@",I675))),"OK","CHECK"))</f>
        <v/>
      </c>
    </row>
    <row r="676" customFormat="false" ht="15" hidden="false" customHeight="false" outlineLevel="0" collapsed="false">
      <c r="F676" s="7"/>
      <c r="H676" s="9"/>
      <c r="J676" s="8"/>
      <c r="K676" s="8"/>
      <c r="M676" s="9"/>
      <c r="P676" s="8"/>
      <c r="Q676" s="8"/>
      <c r="U676" s="0" t="str">
        <f aca="false">IF(A676="","",IF(AND(COUNTIF(Students!$A$2:$A$500,B676)=1,COUNTIF($A$2:$A$1000,A676)=1,ISNUMBER(H676),ISNUMBER(FIND("@",I676))),"OK","CHECK"))</f>
        <v/>
      </c>
    </row>
    <row r="677" customFormat="false" ht="15" hidden="false" customHeight="false" outlineLevel="0" collapsed="false">
      <c r="F677" s="7"/>
      <c r="H677" s="9"/>
      <c r="J677" s="8"/>
      <c r="K677" s="8"/>
      <c r="M677" s="9"/>
      <c r="P677" s="8"/>
      <c r="Q677" s="8"/>
      <c r="U677" s="0" t="str">
        <f aca="false">IF(A677="","",IF(AND(COUNTIF(Students!$A$2:$A$500,B677)=1,COUNTIF($A$2:$A$1000,A677)=1,ISNUMBER(H677),ISNUMBER(FIND("@",I677))),"OK","CHECK"))</f>
        <v/>
      </c>
    </row>
    <row r="678" customFormat="false" ht="15" hidden="false" customHeight="false" outlineLevel="0" collapsed="false">
      <c r="F678" s="7"/>
      <c r="H678" s="9"/>
      <c r="J678" s="8"/>
      <c r="K678" s="8"/>
      <c r="M678" s="9"/>
      <c r="P678" s="8"/>
      <c r="Q678" s="8"/>
      <c r="U678" s="0" t="str">
        <f aca="false">IF(A678="","",IF(AND(COUNTIF(Students!$A$2:$A$500,B678)=1,COUNTIF($A$2:$A$1000,A678)=1,ISNUMBER(H678),ISNUMBER(FIND("@",I678))),"OK","CHECK"))</f>
        <v/>
      </c>
    </row>
    <row r="679" customFormat="false" ht="15" hidden="false" customHeight="false" outlineLevel="0" collapsed="false">
      <c r="F679" s="7"/>
      <c r="H679" s="9"/>
      <c r="J679" s="8"/>
      <c r="K679" s="8"/>
      <c r="M679" s="9"/>
      <c r="P679" s="8"/>
      <c r="Q679" s="8"/>
      <c r="U679" s="0" t="str">
        <f aca="false">IF(A679="","",IF(AND(COUNTIF(Students!$A$2:$A$500,B679)=1,COUNTIF($A$2:$A$1000,A679)=1,ISNUMBER(H679),ISNUMBER(FIND("@",I679))),"OK","CHECK"))</f>
        <v/>
      </c>
    </row>
    <row r="680" customFormat="false" ht="15" hidden="false" customHeight="false" outlineLevel="0" collapsed="false">
      <c r="F680" s="7"/>
      <c r="H680" s="9"/>
      <c r="J680" s="8"/>
      <c r="K680" s="8"/>
      <c r="M680" s="9"/>
      <c r="P680" s="8"/>
      <c r="Q680" s="8"/>
      <c r="U680" s="0" t="str">
        <f aca="false">IF(A680="","",IF(AND(COUNTIF(Students!$A$2:$A$500,B680)=1,COUNTIF($A$2:$A$1000,A680)=1,ISNUMBER(H680),ISNUMBER(FIND("@",I680))),"OK","CHECK"))</f>
        <v/>
      </c>
    </row>
    <row r="681" customFormat="false" ht="15" hidden="false" customHeight="false" outlineLevel="0" collapsed="false">
      <c r="F681" s="7"/>
      <c r="H681" s="9"/>
      <c r="J681" s="8"/>
      <c r="K681" s="8"/>
      <c r="M681" s="9"/>
      <c r="P681" s="8"/>
      <c r="Q681" s="8"/>
      <c r="U681" s="0" t="str">
        <f aca="false">IF(A681="","",IF(AND(COUNTIF(Students!$A$2:$A$500,B681)=1,COUNTIF($A$2:$A$1000,A681)=1,ISNUMBER(H681),ISNUMBER(FIND("@",I681))),"OK","CHECK"))</f>
        <v/>
      </c>
    </row>
    <row r="682" customFormat="false" ht="15" hidden="false" customHeight="false" outlineLevel="0" collapsed="false">
      <c r="F682" s="7"/>
      <c r="H682" s="9"/>
      <c r="J682" s="8"/>
      <c r="K682" s="8"/>
      <c r="M682" s="9"/>
      <c r="P682" s="8"/>
      <c r="Q682" s="8"/>
      <c r="U682" s="0" t="str">
        <f aca="false">IF(A682="","",IF(AND(COUNTIF(Students!$A$2:$A$500,B682)=1,COUNTIF($A$2:$A$1000,A682)=1,ISNUMBER(H682),ISNUMBER(FIND("@",I682))),"OK","CHECK"))</f>
        <v/>
      </c>
    </row>
    <row r="683" customFormat="false" ht="15" hidden="false" customHeight="false" outlineLevel="0" collapsed="false">
      <c r="F683" s="7"/>
      <c r="H683" s="9"/>
      <c r="J683" s="8"/>
      <c r="K683" s="8"/>
      <c r="M683" s="9"/>
      <c r="P683" s="8"/>
      <c r="Q683" s="8"/>
      <c r="U683" s="0" t="str">
        <f aca="false">IF(A683="","",IF(AND(COUNTIF(Students!$A$2:$A$500,B683)=1,COUNTIF($A$2:$A$1000,A683)=1,ISNUMBER(H683),ISNUMBER(FIND("@",I683))),"OK","CHECK"))</f>
        <v/>
      </c>
    </row>
    <row r="684" customFormat="false" ht="15" hidden="false" customHeight="false" outlineLevel="0" collapsed="false">
      <c r="F684" s="7"/>
      <c r="H684" s="9"/>
      <c r="J684" s="8"/>
      <c r="K684" s="8"/>
      <c r="M684" s="9"/>
      <c r="P684" s="8"/>
      <c r="Q684" s="8"/>
      <c r="U684" s="0" t="str">
        <f aca="false">IF(A684="","",IF(AND(COUNTIF(Students!$A$2:$A$500,B684)=1,COUNTIF($A$2:$A$1000,A684)=1,ISNUMBER(H684),ISNUMBER(FIND("@",I684))),"OK","CHECK"))</f>
        <v/>
      </c>
    </row>
    <row r="685" customFormat="false" ht="15" hidden="false" customHeight="false" outlineLevel="0" collapsed="false">
      <c r="F685" s="7"/>
      <c r="H685" s="9"/>
      <c r="J685" s="8"/>
      <c r="K685" s="8"/>
      <c r="M685" s="9"/>
      <c r="P685" s="8"/>
      <c r="Q685" s="8"/>
      <c r="U685" s="0" t="str">
        <f aca="false">IF(A685="","",IF(AND(COUNTIF(Students!$A$2:$A$500,B685)=1,COUNTIF($A$2:$A$1000,A685)=1,ISNUMBER(H685),ISNUMBER(FIND("@",I685))),"OK","CHECK"))</f>
        <v/>
      </c>
    </row>
    <row r="686" customFormat="false" ht="15" hidden="false" customHeight="false" outlineLevel="0" collapsed="false">
      <c r="F686" s="7"/>
      <c r="H686" s="9"/>
      <c r="J686" s="8"/>
      <c r="K686" s="8"/>
      <c r="M686" s="9"/>
      <c r="P686" s="8"/>
      <c r="Q686" s="8"/>
      <c r="U686" s="0" t="str">
        <f aca="false">IF(A686="","",IF(AND(COUNTIF(Students!$A$2:$A$500,B686)=1,COUNTIF($A$2:$A$1000,A686)=1,ISNUMBER(H686),ISNUMBER(FIND("@",I686))),"OK","CHECK"))</f>
        <v/>
      </c>
    </row>
    <row r="687" customFormat="false" ht="15" hidden="false" customHeight="false" outlineLevel="0" collapsed="false">
      <c r="F687" s="7"/>
      <c r="H687" s="9"/>
      <c r="J687" s="8"/>
      <c r="K687" s="8"/>
      <c r="M687" s="9"/>
      <c r="P687" s="8"/>
      <c r="Q687" s="8"/>
      <c r="U687" s="0" t="str">
        <f aca="false">IF(A687="","",IF(AND(COUNTIF(Students!$A$2:$A$500,B687)=1,COUNTIF($A$2:$A$1000,A687)=1,ISNUMBER(H687),ISNUMBER(FIND("@",I687))),"OK","CHECK"))</f>
        <v/>
      </c>
    </row>
    <row r="688" customFormat="false" ht="15" hidden="false" customHeight="false" outlineLevel="0" collapsed="false">
      <c r="F688" s="7"/>
      <c r="H688" s="9"/>
      <c r="J688" s="8"/>
      <c r="K688" s="8"/>
      <c r="M688" s="9"/>
      <c r="P688" s="8"/>
      <c r="Q688" s="8"/>
      <c r="U688" s="0" t="str">
        <f aca="false">IF(A688="","",IF(AND(COUNTIF(Students!$A$2:$A$500,B688)=1,COUNTIF($A$2:$A$1000,A688)=1,ISNUMBER(H688),ISNUMBER(FIND("@",I688))),"OK","CHECK"))</f>
        <v/>
      </c>
    </row>
    <row r="689" customFormat="false" ht="15" hidden="false" customHeight="false" outlineLevel="0" collapsed="false">
      <c r="F689" s="7"/>
      <c r="H689" s="9"/>
      <c r="J689" s="8"/>
      <c r="K689" s="8"/>
      <c r="M689" s="9"/>
      <c r="P689" s="8"/>
      <c r="Q689" s="8"/>
      <c r="U689" s="0" t="str">
        <f aca="false">IF(A689="","",IF(AND(COUNTIF(Students!$A$2:$A$500,B689)=1,COUNTIF($A$2:$A$1000,A689)=1,ISNUMBER(H689),ISNUMBER(FIND("@",I689))),"OK","CHECK"))</f>
        <v/>
      </c>
    </row>
    <row r="690" customFormat="false" ht="15" hidden="false" customHeight="false" outlineLevel="0" collapsed="false">
      <c r="F690" s="7"/>
      <c r="H690" s="9"/>
      <c r="J690" s="8"/>
      <c r="K690" s="8"/>
      <c r="M690" s="9"/>
      <c r="P690" s="8"/>
      <c r="Q690" s="8"/>
      <c r="U690" s="0" t="str">
        <f aca="false">IF(A690="","",IF(AND(COUNTIF(Students!$A$2:$A$500,B690)=1,COUNTIF($A$2:$A$1000,A690)=1,ISNUMBER(H690),ISNUMBER(FIND("@",I690))),"OK","CHECK"))</f>
        <v/>
      </c>
    </row>
    <row r="691" customFormat="false" ht="15" hidden="false" customHeight="false" outlineLevel="0" collapsed="false">
      <c r="F691" s="7"/>
      <c r="H691" s="9"/>
      <c r="J691" s="8"/>
      <c r="K691" s="8"/>
      <c r="M691" s="9"/>
      <c r="P691" s="8"/>
      <c r="Q691" s="8"/>
      <c r="U691" s="0" t="str">
        <f aca="false">IF(A691="","",IF(AND(COUNTIF(Students!$A$2:$A$500,B691)=1,COUNTIF($A$2:$A$1000,A691)=1,ISNUMBER(H691),ISNUMBER(FIND("@",I691))),"OK","CHECK"))</f>
        <v/>
      </c>
    </row>
    <row r="692" customFormat="false" ht="15" hidden="false" customHeight="false" outlineLevel="0" collapsed="false">
      <c r="F692" s="7"/>
      <c r="H692" s="9"/>
      <c r="J692" s="8"/>
      <c r="K692" s="8"/>
      <c r="M692" s="9"/>
      <c r="P692" s="8"/>
      <c r="Q692" s="8"/>
      <c r="U692" s="0" t="str">
        <f aca="false">IF(A692="","",IF(AND(COUNTIF(Students!$A$2:$A$500,B692)=1,COUNTIF($A$2:$A$1000,A692)=1,ISNUMBER(H692),ISNUMBER(FIND("@",I692))),"OK","CHECK"))</f>
        <v/>
      </c>
    </row>
    <row r="693" customFormat="false" ht="15" hidden="false" customHeight="false" outlineLevel="0" collapsed="false">
      <c r="F693" s="7"/>
      <c r="H693" s="9"/>
      <c r="J693" s="8"/>
      <c r="K693" s="8"/>
      <c r="M693" s="9"/>
      <c r="P693" s="8"/>
      <c r="Q693" s="8"/>
      <c r="U693" s="0" t="str">
        <f aca="false">IF(A693="","",IF(AND(COUNTIF(Students!$A$2:$A$500,B693)=1,COUNTIF($A$2:$A$1000,A693)=1,ISNUMBER(H693),ISNUMBER(FIND("@",I693))),"OK","CHECK"))</f>
        <v/>
      </c>
    </row>
    <row r="694" customFormat="false" ht="15" hidden="false" customHeight="false" outlineLevel="0" collapsed="false">
      <c r="F694" s="7"/>
      <c r="H694" s="9"/>
      <c r="J694" s="8"/>
      <c r="K694" s="8"/>
      <c r="M694" s="9"/>
      <c r="P694" s="8"/>
      <c r="Q694" s="8"/>
      <c r="U694" s="0" t="str">
        <f aca="false">IF(A694="","",IF(AND(COUNTIF(Students!$A$2:$A$500,B694)=1,COUNTIF($A$2:$A$1000,A694)=1,ISNUMBER(H694),ISNUMBER(FIND("@",I694))),"OK","CHECK"))</f>
        <v/>
      </c>
    </row>
    <row r="695" customFormat="false" ht="15" hidden="false" customHeight="false" outlineLevel="0" collapsed="false">
      <c r="F695" s="7"/>
      <c r="H695" s="9"/>
      <c r="J695" s="8"/>
      <c r="K695" s="8"/>
      <c r="M695" s="9"/>
      <c r="P695" s="8"/>
      <c r="Q695" s="8"/>
      <c r="U695" s="0" t="str">
        <f aca="false">IF(A695="","",IF(AND(COUNTIF(Students!$A$2:$A$500,B695)=1,COUNTIF($A$2:$A$1000,A695)=1,ISNUMBER(H695),ISNUMBER(FIND("@",I695))),"OK","CHECK"))</f>
        <v/>
      </c>
    </row>
    <row r="696" customFormat="false" ht="15" hidden="false" customHeight="false" outlineLevel="0" collapsed="false">
      <c r="F696" s="7"/>
      <c r="H696" s="9"/>
      <c r="J696" s="8"/>
      <c r="K696" s="8"/>
      <c r="M696" s="9"/>
      <c r="P696" s="8"/>
      <c r="Q696" s="8"/>
      <c r="U696" s="0" t="str">
        <f aca="false">IF(A696="","",IF(AND(COUNTIF(Students!$A$2:$A$500,B696)=1,COUNTIF($A$2:$A$1000,A696)=1,ISNUMBER(H696),ISNUMBER(FIND("@",I696))),"OK","CHECK"))</f>
        <v/>
      </c>
    </row>
    <row r="697" customFormat="false" ht="15" hidden="false" customHeight="false" outlineLevel="0" collapsed="false">
      <c r="F697" s="7"/>
      <c r="H697" s="9"/>
      <c r="J697" s="8"/>
      <c r="K697" s="8"/>
      <c r="M697" s="9"/>
      <c r="P697" s="8"/>
      <c r="Q697" s="8"/>
      <c r="U697" s="0" t="str">
        <f aca="false">IF(A697="","",IF(AND(COUNTIF(Students!$A$2:$A$500,B697)=1,COUNTIF($A$2:$A$1000,A697)=1,ISNUMBER(H697),ISNUMBER(FIND("@",I697))),"OK","CHECK"))</f>
        <v/>
      </c>
    </row>
    <row r="698" customFormat="false" ht="15" hidden="false" customHeight="false" outlineLevel="0" collapsed="false">
      <c r="F698" s="7"/>
      <c r="H698" s="9"/>
      <c r="J698" s="8"/>
      <c r="K698" s="8"/>
      <c r="M698" s="9"/>
      <c r="P698" s="8"/>
      <c r="Q698" s="8"/>
      <c r="U698" s="0" t="str">
        <f aca="false">IF(A698="","",IF(AND(COUNTIF(Students!$A$2:$A$500,B698)=1,COUNTIF($A$2:$A$1000,A698)=1,ISNUMBER(H698),ISNUMBER(FIND("@",I698))),"OK","CHECK"))</f>
        <v/>
      </c>
    </row>
    <row r="699" customFormat="false" ht="15" hidden="false" customHeight="false" outlineLevel="0" collapsed="false">
      <c r="F699" s="7"/>
      <c r="H699" s="9"/>
      <c r="J699" s="8"/>
      <c r="K699" s="8"/>
      <c r="M699" s="9"/>
      <c r="P699" s="8"/>
      <c r="Q699" s="8"/>
      <c r="U699" s="0" t="str">
        <f aca="false">IF(A699="","",IF(AND(COUNTIF(Students!$A$2:$A$500,B699)=1,COUNTIF($A$2:$A$1000,A699)=1,ISNUMBER(H699),ISNUMBER(FIND("@",I699))),"OK","CHECK"))</f>
        <v/>
      </c>
    </row>
    <row r="700" customFormat="false" ht="15" hidden="false" customHeight="false" outlineLevel="0" collapsed="false">
      <c r="F700" s="7"/>
      <c r="H700" s="9"/>
      <c r="J700" s="8"/>
      <c r="K700" s="8"/>
      <c r="M700" s="9"/>
      <c r="P700" s="8"/>
      <c r="Q700" s="8"/>
      <c r="U700" s="0" t="str">
        <f aca="false">IF(A700="","",IF(AND(COUNTIF(Students!$A$2:$A$500,B700)=1,COUNTIF($A$2:$A$1000,A700)=1,ISNUMBER(H700),ISNUMBER(FIND("@",I700))),"OK","CHECK"))</f>
        <v/>
      </c>
    </row>
    <row r="701" customFormat="false" ht="15" hidden="false" customHeight="false" outlineLevel="0" collapsed="false">
      <c r="F701" s="7"/>
      <c r="H701" s="9"/>
      <c r="J701" s="8"/>
      <c r="K701" s="8"/>
      <c r="M701" s="9"/>
      <c r="P701" s="8"/>
      <c r="Q701" s="8"/>
      <c r="U701" s="0" t="str">
        <f aca="false">IF(A701="","",IF(AND(COUNTIF(Students!$A$2:$A$500,B701)=1,COUNTIF($A$2:$A$1000,A701)=1,ISNUMBER(H701),ISNUMBER(FIND("@",I701))),"OK","CHECK"))</f>
        <v/>
      </c>
    </row>
    <row r="702" customFormat="false" ht="15" hidden="false" customHeight="false" outlineLevel="0" collapsed="false">
      <c r="F702" s="7"/>
      <c r="H702" s="9"/>
      <c r="J702" s="8"/>
      <c r="K702" s="8"/>
      <c r="M702" s="9"/>
      <c r="P702" s="8"/>
      <c r="Q702" s="8"/>
      <c r="U702" s="0" t="str">
        <f aca="false">IF(A702="","",IF(AND(COUNTIF(Students!$A$2:$A$500,B702)=1,COUNTIF($A$2:$A$1000,A702)=1,ISNUMBER(H702),ISNUMBER(FIND("@",I702))),"OK","CHECK"))</f>
        <v/>
      </c>
    </row>
    <row r="703" customFormat="false" ht="15" hidden="false" customHeight="false" outlineLevel="0" collapsed="false">
      <c r="F703" s="7"/>
      <c r="H703" s="9"/>
      <c r="J703" s="8"/>
      <c r="K703" s="8"/>
      <c r="M703" s="9"/>
      <c r="P703" s="8"/>
      <c r="Q703" s="8"/>
      <c r="U703" s="0" t="str">
        <f aca="false">IF(A703="","",IF(AND(COUNTIF(Students!$A$2:$A$500,B703)=1,COUNTIF($A$2:$A$1000,A703)=1,ISNUMBER(H703),ISNUMBER(FIND("@",I703))),"OK","CHECK"))</f>
        <v/>
      </c>
    </row>
    <row r="704" customFormat="false" ht="15" hidden="false" customHeight="false" outlineLevel="0" collapsed="false">
      <c r="F704" s="7"/>
      <c r="H704" s="9"/>
      <c r="J704" s="8"/>
      <c r="K704" s="8"/>
      <c r="M704" s="9"/>
      <c r="P704" s="8"/>
      <c r="Q704" s="8"/>
      <c r="U704" s="0" t="str">
        <f aca="false">IF(A704="","",IF(AND(COUNTIF(Students!$A$2:$A$500,B704)=1,COUNTIF($A$2:$A$1000,A704)=1,ISNUMBER(H704),ISNUMBER(FIND("@",I704))),"OK","CHECK"))</f>
        <v/>
      </c>
    </row>
    <row r="705" customFormat="false" ht="15" hidden="false" customHeight="false" outlineLevel="0" collapsed="false">
      <c r="F705" s="7"/>
      <c r="H705" s="9"/>
      <c r="J705" s="8"/>
      <c r="K705" s="8"/>
      <c r="M705" s="9"/>
      <c r="P705" s="8"/>
      <c r="Q705" s="8"/>
      <c r="U705" s="0" t="str">
        <f aca="false">IF(A705="","",IF(AND(COUNTIF(Students!$A$2:$A$500,B705)=1,COUNTIF($A$2:$A$1000,A705)=1,ISNUMBER(H705),ISNUMBER(FIND("@",I705))),"OK","CHECK"))</f>
        <v/>
      </c>
    </row>
    <row r="706" customFormat="false" ht="15" hidden="false" customHeight="false" outlineLevel="0" collapsed="false">
      <c r="F706" s="7"/>
      <c r="H706" s="9"/>
      <c r="J706" s="8"/>
      <c r="K706" s="8"/>
      <c r="M706" s="9"/>
      <c r="P706" s="8"/>
      <c r="Q706" s="8"/>
      <c r="U706" s="0" t="str">
        <f aca="false">IF(A706="","",IF(AND(COUNTIF(Students!$A$2:$A$500,B706)=1,COUNTIF($A$2:$A$1000,A706)=1,ISNUMBER(H706),ISNUMBER(FIND("@",I706))),"OK","CHECK"))</f>
        <v/>
      </c>
    </row>
    <row r="707" customFormat="false" ht="15" hidden="false" customHeight="false" outlineLevel="0" collapsed="false">
      <c r="F707" s="7"/>
      <c r="H707" s="9"/>
      <c r="J707" s="8"/>
      <c r="K707" s="8"/>
      <c r="M707" s="9"/>
      <c r="P707" s="8"/>
      <c r="Q707" s="8"/>
      <c r="U707" s="0" t="str">
        <f aca="false">IF(A707="","",IF(AND(COUNTIF(Students!$A$2:$A$500,B707)=1,COUNTIF($A$2:$A$1000,A707)=1,ISNUMBER(H707),ISNUMBER(FIND("@",I707))),"OK","CHECK"))</f>
        <v/>
      </c>
    </row>
    <row r="708" customFormat="false" ht="15" hidden="false" customHeight="false" outlineLevel="0" collapsed="false">
      <c r="F708" s="7"/>
      <c r="H708" s="9"/>
      <c r="J708" s="8"/>
      <c r="K708" s="8"/>
      <c r="M708" s="9"/>
      <c r="P708" s="8"/>
      <c r="Q708" s="8"/>
      <c r="U708" s="0" t="str">
        <f aca="false">IF(A708="","",IF(AND(COUNTIF(Students!$A$2:$A$500,B708)=1,COUNTIF($A$2:$A$1000,A708)=1,ISNUMBER(H708),ISNUMBER(FIND("@",I708))),"OK","CHECK"))</f>
        <v/>
      </c>
    </row>
    <row r="709" customFormat="false" ht="15" hidden="false" customHeight="false" outlineLevel="0" collapsed="false">
      <c r="F709" s="7"/>
      <c r="H709" s="9"/>
      <c r="J709" s="8"/>
      <c r="K709" s="8"/>
      <c r="M709" s="9"/>
      <c r="P709" s="8"/>
      <c r="Q709" s="8"/>
      <c r="U709" s="0" t="str">
        <f aca="false">IF(A709="","",IF(AND(COUNTIF(Students!$A$2:$A$500,B709)=1,COUNTIF($A$2:$A$1000,A709)=1,ISNUMBER(H709),ISNUMBER(FIND("@",I709))),"OK","CHECK"))</f>
        <v/>
      </c>
    </row>
    <row r="710" customFormat="false" ht="15" hidden="false" customHeight="false" outlineLevel="0" collapsed="false">
      <c r="F710" s="7"/>
      <c r="H710" s="9"/>
      <c r="J710" s="8"/>
      <c r="K710" s="8"/>
      <c r="M710" s="9"/>
      <c r="P710" s="8"/>
      <c r="Q710" s="8"/>
      <c r="U710" s="0" t="str">
        <f aca="false">IF(A710="","",IF(AND(COUNTIF(Students!$A$2:$A$500,B710)=1,COUNTIF($A$2:$A$1000,A710)=1,ISNUMBER(H710),ISNUMBER(FIND("@",I710))),"OK","CHECK"))</f>
        <v/>
      </c>
    </row>
    <row r="711" customFormat="false" ht="15" hidden="false" customHeight="false" outlineLevel="0" collapsed="false">
      <c r="F711" s="7"/>
      <c r="H711" s="9"/>
      <c r="J711" s="8"/>
      <c r="K711" s="8"/>
      <c r="M711" s="9"/>
      <c r="P711" s="8"/>
      <c r="Q711" s="8"/>
      <c r="U711" s="0" t="str">
        <f aca="false">IF(A711="","",IF(AND(COUNTIF(Students!$A$2:$A$500,B711)=1,COUNTIF($A$2:$A$1000,A711)=1,ISNUMBER(H711),ISNUMBER(FIND("@",I711))),"OK","CHECK"))</f>
        <v/>
      </c>
    </row>
    <row r="712" customFormat="false" ht="15" hidden="false" customHeight="false" outlineLevel="0" collapsed="false">
      <c r="F712" s="7"/>
      <c r="H712" s="9"/>
      <c r="J712" s="8"/>
      <c r="K712" s="8"/>
      <c r="M712" s="9"/>
      <c r="P712" s="8"/>
      <c r="Q712" s="8"/>
      <c r="U712" s="0" t="str">
        <f aca="false">IF(A712="","",IF(AND(COUNTIF(Students!$A$2:$A$500,B712)=1,COUNTIF($A$2:$A$1000,A712)=1,ISNUMBER(H712),ISNUMBER(FIND("@",I712))),"OK","CHECK"))</f>
        <v/>
      </c>
    </row>
    <row r="713" customFormat="false" ht="15" hidden="false" customHeight="false" outlineLevel="0" collapsed="false">
      <c r="F713" s="7"/>
      <c r="H713" s="9"/>
      <c r="J713" s="8"/>
      <c r="K713" s="8"/>
      <c r="M713" s="9"/>
      <c r="P713" s="8"/>
      <c r="Q713" s="8"/>
      <c r="U713" s="0" t="str">
        <f aca="false">IF(A713="","",IF(AND(COUNTIF(Students!$A$2:$A$500,B713)=1,COUNTIF($A$2:$A$1000,A713)=1,ISNUMBER(H713),ISNUMBER(FIND("@",I713))),"OK","CHECK"))</f>
        <v/>
      </c>
    </row>
    <row r="714" customFormat="false" ht="15" hidden="false" customHeight="false" outlineLevel="0" collapsed="false">
      <c r="F714" s="7"/>
      <c r="H714" s="9"/>
      <c r="J714" s="8"/>
      <c r="K714" s="8"/>
      <c r="M714" s="9"/>
      <c r="P714" s="8"/>
      <c r="Q714" s="8"/>
      <c r="U714" s="0" t="str">
        <f aca="false">IF(A714="","",IF(AND(COUNTIF(Students!$A$2:$A$500,B714)=1,COUNTIF($A$2:$A$1000,A714)=1,ISNUMBER(H714),ISNUMBER(FIND("@",I714))),"OK","CHECK"))</f>
        <v/>
      </c>
    </row>
    <row r="715" customFormat="false" ht="15" hidden="false" customHeight="false" outlineLevel="0" collapsed="false">
      <c r="F715" s="7"/>
      <c r="H715" s="9"/>
      <c r="J715" s="8"/>
      <c r="K715" s="8"/>
      <c r="M715" s="9"/>
      <c r="P715" s="8"/>
      <c r="Q715" s="8"/>
      <c r="U715" s="0" t="str">
        <f aca="false">IF(A715="","",IF(AND(COUNTIF(Students!$A$2:$A$500,B715)=1,COUNTIF($A$2:$A$1000,A715)=1,ISNUMBER(H715),ISNUMBER(FIND("@",I715))),"OK","CHECK"))</f>
        <v/>
      </c>
    </row>
    <row r="716" customFormat="false" ht="15" hidden="false" customHeight="false" outlineLevel="0" collapsed="false">
      <c r="F716" s="7"/>
      <c r="H716" s="9"/>
      <c r="J716" s="8"/>
      <c r="K716" s="8"/>
      <c r="M716" s="9"/>
      <c r="P716" s="8"/>
      <c r="Q716" s="8"/>
      <c r="U716" s="0" t="str">
        <f aca="false">IF(A716="","",IF(AND(COUNTIF(Students!$A$2:$A$500,B716)=1,COUNTIF($A$2:$A$1000,A716)=1,ISNUMBER(H716),ISNUMBER(FIND("@",I716))),"OK","CHECK"))</f>
        <v/>
      </c>
    </row>
    <row r="717" customFormat="false" ht="15" hidden="false" customHeight="false" outlineLevel="0" collapsed="false">
      <c r="F717" s="7"/>
      <c r="H717" s="9"/>
      <c r="J717" s="8"/>
      <c r="K717" s="8"/>
      <c r="M717" s="9"/>
      <c r="P717" s="8"/>
      <c r="Q717" s="8"/>
      <c r="U717" s="0" t="str">
        <f aca="false">IF(A717="","",IF(AND(COUNTIF(Students!$A$2:$A$500,B717)=1,COUNTIF($A$2:$A$1000,A717)=1,ISNUMBER(H717),ISNUMBER(FIND("@",I717))),"OK","CHECK"))</f>
        <v/>
      </c>
    </row>
    <row r="718" customFormat="false" ht="15" hidden="false" customHeight="false" outlineLevel="0" collapsed="false">
      <c r="F718" s="7"/>
      <c r="H718" s="9"/>
      <c r="J718" s="8"/>
      <c r="K718" s="8"/>
      <c r="M718" s="9"/>
      <c r="P718" s="8"/>
      <c r="Q718" s="8"/>
      <c r="U718" s="0" t="str">
        <f aca="false">IF(A718="","",IF(AND(COUNTIF(Students!$A$2:$A$500,B718)=1,COUNTIF($A$2:$A$1000,A718)=1,ISNUMBER(H718),ISNUMBER(FIND("@",I718))),"OK","CHECK"))</f>
        <v/>
      </c>
    </row>
    <row r="719" customFormat="false" ht="15" hidden="false" customHeight="false" outlineLevel="0" collapsed="false">
      <c r="F719" s="7"/>
      <c r="H719" s="9"/>
      <c r="J719" s="8"/>
      <c r="K719" s="8"/>
      <c r="M719" s="9"/>
      <c r="P719" s="8"/>
      <c r="Q719" s="8"/>
      <c r="U719" s="0" t="str">
        <f aca="false">IF(A719="","",IF(AND(COUNTIF(Students!$A$2:$A$500,B719)=1,COUNTIF($A$2:$A$1000,A719)=1,ISNUMBER(H719),ISNUMBER(FIND("@",I719))),"OK","CHECK"))</f>
        <v/>
      </c>
    </row>
    <row r="720" customFormat="false" ht="15" hidden="false" customHeight="false" outlineLevel="0" collapsed="false">
      <c r="F720" s="7"/>
      <c r="H720" s="9"/>
      <c r="J720" s="8"/>
      <c r="K720" s="8"/>
      <c r="M720" s="9"/>
      <c r="P720" s="8"/>
      <c r="Q720" s="8"/>
      <c r="U720" s="0" t="str">
        <f aca="false">IF(A720="","",IF(AND(COUNTIF(Students!$A$2:$A$500,B720)=1,COUNTIF($A$2:$A$1000,A720)=1,ISNUMBER(H720),ISNUMBER(FIND("@",I720))),"OK","CHECK"))</f>
        <v/>
      </c>
    </row>
    <row r="721" customFormat="false" ht="15" hidden="false" customHeight="false" outlineLevel="0" collapsed="false">
      <c r="F721" s="7"/>
      <c r="H721" s="9"/>
      <c r="J721" s="8"/>
      <c r="K721" s="8"/>
      <c r="M721" s="9"/>
      <c r="P721" s="8"/>
      <c r="Q721" s="8"/>
      <c r="U721" s="0" t="str">
        <f aca="false">IF(A721="","",IF(AND(COUNTIF(Students!$A$2:$A$500,B721)=1,COUNTIF($A$2:$A$1000,A721)=1,ISNUMBER(H721),ISNUMBER(FIND("@",I721))),"OK","CHECK"))</f>
        <v/>
      </c>
    </row>
    <row r="722" customFormat="false" ht="15" hidden="false" customHeight="false" outlineLevel="0" collapsed="false">
      <c r="F722" s="7"/>
      <c r="H722" s="9"/>
      <c r="J722" s="8"/>
      <c r="K722" s="8"/>
      <c r="M722" s="9"/>
      <c r="P722" s="8"/>
      <c r="Q722" s="8"/>
      <c r="U722" s="0" t="str">
        <f aca="false">IF(A722="","",IF(AND(COUNTIF(Students!$A$2:$A$500,B722)=1,COUNTIF($A$2:$A$1000,A722)=1,ISNUMBER(H722),ISNUMBER(FIND("@",I722))),"OK","CHECK"))</f>
        <v/>
      </c>
    </row>
    <row r="723" customFormat="false" ht="15" hidden="false" customHeight="false" outlineLevel="0" collapsed="false">
      <c r="F723" s="7"/>
      <c r="H723" s="9"/>
      <c r="J723" s="8"/>
      <c r="K723" s="8"/>
      <c r="M723" s="9"/>
      <c r="P723" s="8"/>
      <c r="Q723" s="8"/>
      <c r="U723" s="0" t="str">
        <f aca="false">IF(A723="","",IF(AND(COUNTIF(Students!$A$2:$A$500,B723)=1,COUNTIF($A$2:$A$1000,A723)=1,ISNUMBER(H723),ISNUMBER(FIND("@",I723))),"OK","CHECK"))</f>
        <v/>
      </c>
    </row>
    <row r="724" customFormat="false" ht="15" hidden="false" customHeight="false" outlineLevel="0" collapsed="false">
      <c r="F724" s="7"/>
      <c r="H724" s="9"/>
      <c r="J724" s="8"/>
      <c r="K724" s="8"/>
      <c r="M724" s="9"/>
      <c r="P724" s="8"/>
      <c r="Q724" s="8"/>
      <c r="U724" s="0" t="str">
        <f aca="false">IF(A724="","",IF(AND(COUNTIF(Students!$A$2:$A$500,B724)=1,COUNTIF($A$2:$A$1000,A724)=1,ISNUMBER(H724),ISNUMBER(FIND("@",I724))),"OK","CHECK"))</f>
        <v/>
      </c>
    </row>
    <row r="725" customFormat="false" ht="15" hidden="false" customHeight="false" outlineLevel="0" collapsed="false">
      <c r="F725" s="7"/>
      <c r="H725" s="9"/>
      <c r="J725" s="8"/>
      <c r="K725" s="8"/>
      <c r="M725" s="9"/>
      <c r="P725" s="8"/>
      <c r="Q725" s="8"/>
      <c r="U725" s="0" t="str">
        <f aca="false">IF(A725="","",IF(AND(COUNTIF(Students!$A$2:$A$500,B725)=1,COUNTIF($A$2:$A$1000,A725)=1,ISNUMBER(H725),ISNUMBER(FIND("@",I725))),"OK","CHECK"))</f>
        <v/>
      </c>
    </row>
    <row r="726" customFormat="false" ht="15" hidden="false" customHeight="false" outlineLevel="0" collapsed="false">
      <c r="F726" s="7"/>
      <c r="H726" s="9"/>
      <c r="J726" s="8"/>
      <c r="K726" s="8"/>
      <c r="M726" s="9"/>
      <c r="P726" s="8"/>
      <c r="Q726" s="8"/>
      <c r="U726" s="0" t="str">
        <f aca="false">IF(A726="","",IF(AND(COUNTIF(Students!$A$2:$A$500,B726)=1,COUNTIF($A$2:$A$1000,A726)=1,ISNUMBER(H726),ISNUMBER(FIND("@",I726))),"OK","CHECK"))</f>
        <v/>
      </c>
    </row>
    <row r="727" customFormat="false" ht="15" hidden="false" customHeight="false" outlineLevel="0" collapsed="false">
      <c r="F727" s="7"/>
      <c r="H727" s="9"/>
      <c r="J727" s="8"/>
      <c r="K727" s="8"/>
      <c r="M727" s="9"/>
      <c r="P727" s="8"/>
      <c r="Q727" s="8"/>
      <c r="U727" s="0" t="str">
        <f aca="false">IF(A727="","",IF(AND(COUNTIF(Students!$A$2:$A$500,B727)=1,COUNTIF($A$2:$A$1000,A727)=1,ISNUMBER(H727),ISNUMBER(FIND("@",I727))),"OK","CHECK"))</f>
        <v/>
      </c>
    </row>
    <row r="728" customFormat="false" ht="15" hidden="false" customHeight="false" outlineLevel="0" collapsed="false">
      <c r="F728" s="7"/>
      <c r="H728" s="9"/>
      <c r="J728" s="8"/>
      <c r="K728" s="8"/>
      <c r="M728" s="9"/>
      <c r="P728" s="8"/>
      <c r="Q728" s="8"/>
      <c r="U728" s="0" t="str">
        <f aca="false">IF(A728="","",IF(AND(COUNTIF(Students!$A$2:$A$500,B728)=1,COUNTIF($A$2:$A$1000,A728)=1,ISNUMBER(H728),ISNUMBER(FIND("@",I728))),"OK","CHECK"))</f>
        <v/>
      </c>
    </row>
    <row r="729" customFormat="false" ht="15" hidden="false" customHeight="false" outlineLevel="0" collapsed="false">
      <c r="F729" s="7"/>
      <c r="H729" s="9"/>
      <c r="J729" s="8"/>
      <c r="K729" s="8"/>
      <c r="M729" s="9"/>
      <c r="P729" s="8"/>
      <c r="Q729" s="8"/>
      <c r="U729" s="0" t="str">
        <f aca="false">IF(A729="","",IF(AND(COUNTIF(Students!$A$2:$A$500,B729)=1,COUNTIF($A$2:$A$1000,A729)=1,ISNUMBER(H729),ISNUMBER(FIND("@",I729))),"OK","CHECK"))</f>
        <v/>
      </c>
    </row>
    <row r="730" customFormat="false" ht="15" hidden="false" customHeight="false" outlineLevel="0" collapsed="false">
      <c r="F730" s="7"/>
      <c r="H730" s="9"/>
      <c r="J730" s="8"/>
      <c r="K730" s="8"/>
      <c r="M730" s="9"/>
      <c r="P730" s="8"/>
      <c r="Q730" s="8"/>
      <c r="U730" s="0" t="str">
        <f aca="false">IF(A730="","",IF(AND(COUNTIF(Students!$A$2:$A$500,B730)=1,COUNTIF($A$2:$A$1000,A730)=1,ISNUMBER(H730),ISNUMBER(FIND("@",I730))),"OK","CHECK"))</f>
        <v/>
      </c>
    </row>
    <row r="731" customFormat="false" ht="15" hidden="false" customHeight="false" outlineLevel="0" collapsed="false">
      <c r="F731" s="7"/>
      <c r="H731" s="9"/>
      <c r="J731" s="8"/>
      <c r="K731" s="8"/>
      <c r="M731" s="9"/>
      <c r="P731" s="8"/>
      <c r="Q731" s="8"/>
      <c r="U731" s="0" t="str">
        <f aca="false">IF(A731="","",IF(AND(COUNTIF(Students!$A$2:$A$500,B731)=1,COUNTIF($A$2:$A$1000,A731)=1,ISNUMBER(H731),ISNUMBER(FIND("@",I731))),"OK","CHECK"))</f>
        <v/>
      </c>
    </row>
    <row r="732" customFormat="false" ht="15" hidden="false" customHeight="false" outlineLevel="0" collapsed="false">
      <c r="F732" s="7"/>
      <c r="H732" s="9"/>
      <c r="J732" s="8"/>
      <c r="K732" s="8"/>
      <c r="M732" s="9"/>
      <c r="P732" s="8"/>
      <c r="Q732" s="8"/>
      <c r="U732" s="0" t="str">
        <f aca="false">IF(A732="","",IF(AND(COUNTIF(Students!$A$2:$A$500,B732)=1,COUNTIF($A$2:$A$1000,A732)=1,ISNUMBER(H732),ISNUMBER(FIND("@",I732))),"OK","CHECK"))</f>
        <v/>
      </c>
    </row>
    <row r="733" customFormat="false" ht="15" hidden="false" customHeight="false" outlineLevel="0" collapsed="false">
      <c r="F733" s="7"/>
      <c r="H733" s="9"/>
      <c r="J733" s="8"/>
      <c r="K733" s="8"/>
      <c r="M733" s="9"/>
      <c r="P733" s="8"/>
      <c r="Q733" s="8"/>
      <c r="U733" s="0" t="str">
        <f aca="false">IF(A733="","",IF(AND(COUNTIF(Students!$A$2:$A$500,B733)=1,COUNTIF($A$2:$A$1000,A733)=1,ISNUMBER(H733),ISNUMBER(FIND("@",I733))),"OK","CHECK"))</f>
        <v/>
      </c>
    </row>
    <row r="734" customFormat="false" ht="15" hidden="false" customHeight="false" outlineLevel="0" collapsed="false">
      <c r="F734" s="7"/>
      <c r="H734" s="9"/>
      <c r="J734" s="8"/>
      <c r="K734" s="8"/>
      <c r="M734" s="9"/>
      <c r="P734" s="8"/>
      <c r="Q734" s="8"/>
      <c r="U734" s="0" t="str">
        <f aca="false">IF(A734="","",IF(AND(COUNTIF(Students!$A$2:$A$500,B734)=1,COUNTIF($A$2:$A$1000,A734)=1,ISNUMBER(H734),ISNUMBER(FIND("@",I734))),"OK","CHECK"))</f>
        <v/>
      </c>
    </row>
    <row r="735" customFormat="false" ht="15" hidden="false" customHeight="false" outlineLevel="0" collapsed="false">
      <c r="F735" s="7"/>
      <c r="H735" s="9"/>
      <c r="J735" s="8"/>
      <c r="K735" s="8"/>
      <c r="M735" s="9"/>
      <c r="P735" s="8"/>
      <c r="Q735" s="8"/>
      <c r="U735" s="0" t="str">
        <f aca="false">IF(A735="","",IF(AND(COUNTIF(Students!$A$2:$A$500,B735)=1,COUNTIF($A$2:$A$1000,A735)=1,ISNUMBER(H735),ISNUMBER(FIND("@",I735))),"OK","CHECK"))</f>
        <v/>
      </c>
    </row>
    <row r="736" customFormat="false" ht="15" hidden="false" customHeight="false" outlineLevel="0" collapsed="false">
      <c r="F736" s="7"/>
      <c r="H736" s="9"/>
      <c r="J736" s="8"/>
      <c r="K736" s="8"/>
      <c r="M736" s="9"/>
      <c r="P736" s="8"/>
      <c r="Q736" s="8"/>
      <c r="U736" s="0" t="str">
        <f aca="false">IF(A736="","",IF(AND(COUNTIF(Students!$A$2:$A$500,B736)=1,COUNTIF($A$2:$A$1000,A736)=1,ISNUMBER(H736),ISNUMBER(FIND("@",I736))),"OK","CHECK"))</f>
        <v/>
      </c>
    </row>
    <row r="737" customFormat="false" ht="15" hidden="false" customHeight="false" outlineLevel="0" collapsed="false">
      <c r="F737" s="7"/>
      <c r="H737" s="9"/>
      <c r="J737" s="8"/>
      <c r="K737" s="8"/>
      <c r="M737" s="9"/>
      <c r="P737" s="8"/>
      <c r="Q737" s="8"/>
      <c r="U737" s="0" t="str">
        <f aca="false">IF(A737="","",IF(AND(COUNTIF(Students!$A$2:$A$500,B737)=1,COUNTIF($A$2:$A$1000,A737)=1,ISNUMBER(H737),ISNUMBER(FIND("@",I737))),"OK","CHECK"))</f>
        <v/>
      </c>
    </row>
    <row r="738" customFormat="false" ht="15" hidden="false" customHeight="false" outlineLevel="0" collapsed="false">
      <c r="F738" s="7"/>
      <c r="H738" s="9"/>
      <c r="J738" s="8"/>
      <c r="K738" s="8"/>
      <c r="M738" s="9"/>
      <c r="P738" s="8"/>
      <c r="Q738" s="8"/>
      <c r="U738" s="0" t="str">
        <f aca="false">IF(A738="","",IF(AND(COUNTIF(Students!$A$2:$A$500,B738)=1,COUNTIF($A$2:$A$1000,A738)=1,ISNUMBER(H738),ISNUMBER(FIND("@",I738))),"OK","CHECK"))</f>
        <v/>
      </c>
    </row>
    <row r="739" customFormat="false" ht="15" hidden="false" customHeight="false" outlineLevel="0" collapsed="false">
      <c r="F739" s="7"/>
      <c r="H739" s="9"/>
      <c r="J739" s="8"/>
      <c r="K739" s="8"/>
      <c r="M739" s="9"/>
      <c r="P739" s="8"/>
      <c r="Q739" s="8"/>
      <c r="U739" s="0" t="str">
        <f aca="false">IF(A739="","",IF(AND(COUNTIF(Students!$A$2:$A$500,B739)=1,COUNTIF($A$2:$A$1000,A739)=1,ISNUMBER(H739),ISNUMBER(FIND("@",I739))),"OK","CHECK"))</f>
        <v/>
      </c>
    </row>
    <row r="740" customFormat="false" ht="15" hidden="false" customHeight="false" outlineLevel="0" collapsed="false">
      <c r="F740" s="7"/>
      <c r="H740" s="9"/>
      <c r="J740" s="8"/>
      <c r="K740" s="8"/>
      <c r="M740" s="9"/>
      <c r="P740" s="8"/>
      <c r="Q740" s="8"/>
      <c r="U740" s="0" t="str">
        <f aca="false">IF(A740="","",IF(AND(COUNTIF(Students!$A$2:$A$500,B740)=1,COUNTIF($A$2:$A$1000,A740)=1,ISNUMBER(H740),ISNUMBER(FIND("@",I740))),"OK","CHECK"))</f>
        <v/>
      </c>
    </row>
    <row r="741" customFormat="false" ht="15" hidden="false" customHeight="false" outlineLevel="0" collapsed="false">
      <c r="F741" s="7"/>
      <c r="H741" s="9"/>
      <c r="J741" s="8"/>
      <c r="K741" s="8"/>
      <c r="M741" s="9"/>
      <c r="P741" s="8"/>
      <c r="Q741" s="8"/>
      <c r="U741" s="0" t="str">
        <f aca="false">IF(A741="","",IF(AND(COUNTIF(Students!$A$2:$A$500,B741)=1,COUNTIF($A$2:$A$1000,A741)=1,ISNUMBER(H741),ISNUMBER(FIND("@",I741))),"OK","CHECK"))</f>
        <v/>
      </c>
    </row>
    <row r="742" customFormat="false" ht="15" hidden="false" customHeight="false" outlineLevel="0" collapsed="false">
      <c r="F742" s="7"/>
      <c r="H742" s="9"/>
      <c r="J742" s="8"/>
      <c r="K742" s="8"/>
      <c r="M742" s="9"/>
      <c r="P742" s="8"/>
      <c r="Q742" s="8"/>
      <c r="U742" s="0" t="str">
        <f aca="false">IF(A742="","",IF(AND(COUNTIF(Students!$A$2:$A$500,B742)=1,COUNTIF($A$2:$A$1000,A742)=1,ISNUMBER(H742),ISNUMBER(FIND("@",I742))),"OK","CHECK"))</f>
        <v/>
      </c>
    </row>
    <row r="743" customFormat="false" ht="15" hidden="false" customHeight="false" outlineLevel="0" collapsed="false">
      <c r="F743" s="7"/>
      <c r="H743" s="9"/>
      <c r="J743" s="8"/>
      <c r="K743" s="8"/>
      <c r="M743" s="9"/>
      <c r="P743" s="8"/>
      <c r="Q743" s="8"/>
      <c r="U743" s="0" t="str">
        <f aca="false">IF(A743="","",IF(AND(COUNTIF(Students!$A$2:$A$500,B743)=1,COUNTIF($A$2:$A$1000,A743)=1,ISNUMBER(H743),ISNUMBER(FIND("@",I743))),"OK","CHECK"))</f>
        <v/>
      </c>
    </row>
    <row r="744" customFormat="false" ht="15" hidden="false" customHeight="false" outlineLevel="0" collapsed="false">
      <c r="F744" s="7"/>
      <c r="H744" s="9"/>
      <c r="J744" s="8"/>
      <c r="K744" s="8"/>
      <c r="M744" s="9"/>
      <c r="P744" s="8"/>
      <c r="Q744" s="8"/>
      <c r="U744" s="0" t="str">
        <f aca="false">IF(A744="","",IF(AND(COUNTIF(Students!$A$2:$A$500,B744)=1,COUNTIF($A$2:$A$1000,A744)=1,ISNUMBER(H744),ISNUMBER(FIND("@",I744))),"OK","CHECK"))</f>
        <v/>
      </c>
    </row>
    <row r="745" customFormat="false" ht="15" hidden="false" customHeight="false" outlineLevel="0" collapsed="false">
      <c r="F745" s="7"/>
      <c r="H745" s="9"/>
      <c r="J745" s="8"/>
      <c r="K745" s="8"/>
      <c r="M745" s="9"/>
      <c r="P745" s="8"/>
      <c r="Q745" s="8"/>
      <c r="U745" s="0" t="str">
        <f aca="false">IF(A745="","",IF(AND(COUNTIF(Students!$A$2:$A$500,B745)=1,COUNTIF($A$2:$A$1000,A745)=1,ISNUMBER(H745),ISNUMBER(FIND("@",I745))),"OK","CHECK"))</f>
        <v/>
      </c>
    </row>
    <row r="746" customFormat="false" ht="15" hidden="false" customHeight="false" outlineLevel="0" collapsed="false">
      <c r="F746" s="7"/>
      <c r="H746" s="9"/>
      <c r="J746" s="8"/>
      <c r="K746" s="8"/>
      <c r="M746" s="9"/>
      <c r="P746" s="8"/>
      <c r="Q746" s="8"/>
      <c r="U746" s="0" t="str">
        <f aca="false">IF(A746="","",IF(AND(COUNTIF(Students!$A$2:$A$500,B746)=1,COUNTIF($A$2:$A$1000,A746)=1,ISNUMBER(H746),ISNUMBER(FIND("@",I746))),"OK","CHECK"))</f>
        <v/>
      </c>
    </row>
    <row r="747" customFormat="false" ht="15" hidden="false" customHeight="false" outlineLevel="0" collapsed="false">
      <c r="F747" s="7"/>
      <c r="H747" s="9"/>
      <c r="J747" s="8"/>
      <c r="K747" s="8"/>
      <c r="M747" s="9"/>
      <c r="P747" s="8"/>
      <c r="Q747" s="8"/>
      <c r="U747" s="0" t="str">
        <f aca="false">IF(A747="","",IF(AND(COUNTIF(Students!$A$2:$A$500,B747)=1,COUNTIF($A$2:$A$1000,A747)=1,ISNUMBER(H747),ISNUMBER(FIND("@",I747))),"OK","CHECK"))</f>
        <v/>
      </c>
    </row>
    <row r="748" customFormat="false" ht="15" hidden="false" customHeight="false" outlineLevel="0" collapsed="false">
      <c r="F748" s="7"/>
      <c r="H748" s="9"/>
      <c r="J748" s="8"/>
      <c r="K748" s="8"/>
      <c r="M748" s="9"/>
      <c r="P748" s="8"/>
      <c r="Q748" s="8"/>
      <c r="U748" s="0" t="str">
        <f aca="false">IF(A748="","",IF(AND(COUNTIF(Students!$A$2:$A$500,B748)=1,COUNTIF($A$2:$A$1000,A748)=1,ISNUMBER(H748),ISNUMBER(FIND("@",I748))),"OK","CHECK"))</f>
        <v/>
      </c>
    </row>
    <row r="749" customFormat="false" ht="15" hidden="false" customHeight="false" outlineLevel="0" collapsed="false">
      <c r="F749" s="7"/>
      <c r="H749" s="9"/>
      <c r="J749" s="8"/>
      <c r="K749" s="8"/>
      <c r="M749" s="9"/>
      <c r="P749" s="8"/>
      <c r="Q749" s="8"/>
      <c r="U749" s="0" t="str">
        <f aca="false">IF(A749="","",IF(AND(COUNTIF(Students!$A$2:$A$500,B749)=1,COUNTIF($A$2:$A$1000,A749)=1,ISNUMBER(H749),ISNUMBER(FIND("@",I749))),"OK","CHECK"))</f>
        <v/>
      </c>
    </row>
    <row r="750" customFormat="false" ht="15" hidden="false" customHeight="false" outlineLevel="0" collapsed="false">
      <c r="F750" s="7"/>
      <c r="H750" s="9"/>
      <c r="J750" s="8"/>
      <c r="K750" s="8"/>
      <c r="M750" s="9"/>
      <c r="P750" s="8"/>
      <c r="Q750" s="8"/>
      <c r="U750" s="0" t="str">
        <f aca="false">IF(A750="","",IF(AND(COUNTIF(Students!$A$2:$A$500,B750)=1,COUNTIF($A$2:$A$1000,A750)=1,ISNUMBER(H750),ISNUMBER(FIND("@",I750))),"OK","CHECK"))</f>
        <v/>
      </c>
    </row>
    <row r="751" customFormat="false" ht="15" hidden="false" customHeight="false" outlineLevel="0" collapsed="false">
      <c r="F751" s="7"/>
      <c r="H751" s="9"/>
      <c r="J751" s="8"/>
      <c r="K751" s="8"/>
      <c r="M751" s="9"/>
      <c r="P751" s="8"/>
      <c r="Q751" s="8"/>
      <c r="U751" s="0" t="str">
        <f aca="false">IF(A751="","",IF(AND(COUNTIF(Students!$A$2:$A$500,B751)=1,COUNTIF($A$2:$A$1000,A751)=1,ISNUMBER(H751),ISNUMBER(FIND("@",I751))),"OK","CHECK"))</f>
        <v/>
      </c>
    </row>
    <row r="752" customFormat="false" ht="15" hidden="false" customHeight="false" outlineLevel="0" collapsed="false">
      <c r="F752" s="7"/>
      <c r="H752" s="9"/>
      <c r="J752" s="8"/>
      <c r="K752" s="8"/>
      <c r="M752" s="9"/>
      <c r="P752" s="8"/>
      <c r="Q752" s="8"/>
      <c r="U752" s="0" t="str">
        <f aca="false">IF(A752="","",IF(AND(COUNTIF(Students!$A$2:$A$500,B752)=1,COUNTIF($A$2:$A$1000,A752)=1,ISNUMBER(H752),ISNUMBER(FIND("@",I752))),"OK","CHECK"))</f>
        <v/>
      </c>
    </row>
    <row r="753" customFormat="false" ht="15" hidden="false" customHeight="false" outlineLevel="0" collapsed="false">
      <c r="F753" s="7"/>
      <c r="H753" s="9"/>
      <c r="J753" s="8"/>
      <c r="K753" s="8"/>
      <c r="M753" s="9"/>
      <c r="P753" s="8"/>
      <c r="Q753" s="8"/>
      <c r="U753" s="0" t="str">
        <f aca="false">IF(A753="","",IF(AND(COUNTIF(Students!$A$2:$A$500,B753)=1,COUNTIF($A$2:$A$1000,A753)=1,ISNUMBER(H753),ISNUMBER(FIND("@",I753))),"OK","CHECK"))</f>
        <v/>
      </c>
    </row>
    <row r="754" customFormat="false" ht="15" hidden="false" customHeight="false" outlineLevel="0" collapsed="false">
      <c r="F754" s="7"/>
      <c r="H754" s="9"/>
      <c r="J754" s="8"/>
      <c r="K754" s="8"/>
      <c r="M754" s="9"/>
      <c r="P754" s="8"/>
      <c r="Q754" s="8"/>
      <c r="U754" s="0" t="str">
        <f aca="false">IF(A754="","",IF(AND(COUNTIF(Students!$A$2:$A$500,B754)=1,COUNTIF($A$2:$A$1000,A754)=1,ISNUMBER(H754),ISNUMBER(FIND("@",I754))),"OK","CHECK"))</f>
        <v/>
      </c>
    </row>
    <row r="755" customFormat="false" ht="15" hidden="false" customHeight="false" outlineLevel="0" collapsed="false">
      <c r="F755" s="7"/>
      <c r="H755" s="9"/>
      <c r="J755" s="8"/>
      <c r="K755" s="8"/>
      <c r="M755" s="9"/>
      <c r="P755" s="8"/>
      <c r="Q755" s="8"/>
      <c r="U755" s="0" t="str">
        <f aca="false">IF(A755="","",IF(AND(COUNTIF(Students!$A$2:$A$500,B755)=1,COUNTIF($A$2:$A$1000,A755)=1,ISNUMBER(H755),ISNUMBER(FIND("@",I755))),"OK","CHECK"))</f>
        <v/>
      </c>
    </row>
    <row r="756" customFormat="false" ht="15" hidden="false" customHeight="false" outlineLevel="0" collapsed="false">
      <c r="F756" s="7"/>
      <c r="H756" s="9"/>
      <c r="J756" s="8"/>
      <c r="K756" s="8"/>
      <c r="M756" s="9"/>
      <c r="P756" s="8"/>
      <c r="Q756" s="8"/>
      <c r="U756" s="0" t="str">
        <f aca="false">IF(A756="","",IF(AND(COUNTIF(Students!$A$2:$A$500,B756)=1,COUNTIF($A$2:$A$1000,A756)=1,ISNUMBER(H756),ISNUMBER(FIND("@",I756))),"OK","CHECK"))</f>
        <v/>
      </c>
    </row>
    <row r="757" customFormat="false" ht="15" hidden="false" customHeight="false" outlineLevel="0" collapsed="false">
      <c r="F757" s="7"/>
      <c r="H757" s="9"/>
      <c r="J757" s="8"/>
      <c r="K757" s="8"/>
      <c r="M757" s="9"/>
      <c r="P757" s="8"/>
      <c r="Q757" s="8"/>
      <c r="U757" s="0" t="str">
        <f aca="false">IF(A757="","",IF(AND(COUNTIF(Students!$A$2:$A$500,B757)=1,COUNTIF($A$2:$A$1000,A757)=1,ISNUMBER(H757),ISNUMBER(FIND("@",I757))),"OK","CHECK"))</f>
        <v/>
      </c>
    </row>
    <row r="758" customFormat="false" ht="15" hidden="false" customHeight="false" outlineLevel="0" collapsed="false">
      <c r="F758" s="7"/>
      <c r="H758" s="9"/>
      <c r="J758" s="8"/>
      <c r="K758" s="8"/>
      <c r="M758" s="9"/>
      <c r="P758" s="8"/>
      <c r="Q758" s="8"/>
      <c r="U758" s="0" t="str">
        <f aca="false">IF(A758="","",IF(AND(COUNTIF(Students!$A$2:$A$500,B758)=1,COUNTIF($A$2:$A$1000,A758)=1,ISNUMBER(H758),ISNUMBER(FIND("@",I758))),"OK","CHECK"))</f>
        <v/>
      </c>
    </row>
    <row r="759" customFormat="false" ht="15" hidden="false" customHeight="false" outlineLevel="0" collapsed="false">
      <c r="F759" s="7"/>
      <c r="H759" s="9"/>
      <c r="J759" s="8"/>
      <c r="K759" s="8"/>
      <c r="M759" s="9"/>
      <c r="P759" s="8"/>
      <c r="Q759" s="8"/>
      <c r="U759" s="0" t="str">
        <f aca="false">IF(A759="","",IF(AND(COUNTIF(Students!$A$2:$A$500,B759)=1,COUNTIF($A$2:$A$1000,A759)=1,ISNUMBER(H759),ISNUMBER(FIND("@",I759))),"OK","CHECK"))</f>
        <v/>
      </c>
    </row>
    <row r="760" customFormat="false" ht="15" hidden="false" customHeight="false" outlineLevel="0" collapsed="false">
      <c r="F760" s="7"/>
      <c r="H760" s="9"/>
      <c r="J760" s="8"/>
      <c r="K760" s="8"/>
      <c r="M760" s="9"/>
      <c r="P760" s="8"/>
      <c r="Q760" s="8"/>
      <c r="U760" s="0" t="str">
        <f aca="false">IF(A760="","",IF(AND(COUNTIF(Students!$A$2:$A$500,B760)=1,COUNTIF($A$2:$A$1000,A760)=1,ISNUMBER(H760),ISNUMBER(FIND("@",I760))),"OK","CHECK"))</f>
        <v/>
      </c>
    </row>
    <row r="761" customFormat="false" ht="15" hidden="false" customHeight="false" outlineLevel="0" collapsed="false">
      <c r="F761" s="7"/>
      <c r="H761" s="9"/>
      <c r="J761" s="8"/>
      <c r="K761" s="8"/>
      <c r="M761" s="9"/>
      <c r="P761" s="8"/>
      <c r="Q761" s="8"/>
      <c r="U761" s="0" t="str">
        <f aca="false">IF(A761="","",IF(AND(COUNTIF(Students!$A$2:$A$500,B761)=1,COUNTIF($A$2:$A$1000,A761)=1,ISNUMBER(H761),ISNUMBER(FIND("@",I761))),"OK","CHECK"))</f>
        <v/>
      </c>
    </row>
    <row r="762" customFormat="false" ht="15" hidden="false" customHeight="false" outlineLevel="0" collapsed="false">
      <c r="F762" s="7"/>
      <c r="H762" s="9"/>
      <c r="J762" s="8"/>
      <c r="K762" s="8"/>
      <c r="M762" s="9"/>
      <c r="P762" s="8"/>
      <c r="Q762" s="8"/>
      <c r="U762" s="0" t="str">
        <f aca="false">IF(A762="","",IF(AND(COUNTIF(Students!$A$2:$A$500,B762)=1,COUNTIF($A$2:$A$1000,A762)=1,ISNUMBER(H762),ISNUMBER(FIND("@",I762))),"OK","CHECK"))</f>
        <v/>
      </c>
    </row>
    <row r="763" customFormat="false" ht="15" hidden="false" customHeight="false" outlineLevel="0" collapsed="false">
      <c r="F763" s="7"/>
      <c r="H763" s="9"/>
      <c r="J763" s="8"/>
      <c r="K763" s="8"/>
      <c r="M763" s="9"/>
      <c r="P763" s="8"/>
      <c r="Q763" s="8"/>
      <c r="U763" s="0" t="str">
        <f aca="false">IF(A763="","",IF(AND(COUNTIF(Students!$A$2:$A$500,B763)=1,COUNTIF($A$2:$A$1000,A763)=1,ISNUMBER(H763),ISNUMBER(FIND("@",I763))),"OK","CHECK"))</f>
        <v/>
      </c>
    </row>
    <row r="764" customFormat="false" ht="15" hidden="false" customHeight="false" outlineLevel="0" collapsed="false">
      <c r="F764" s="7"/>
      <c r="H764" s="9"/>
      <c r="J764" s="8"/>
      <c r="K764" s="8"/>
      <c r="M764" s="9"/>
      <c r="P764" s="8"/>
      <c r="Q764" s="8"/>
      <c r="U764" s="0" t="str">
        <f aca="false">IF(A764="","",IF(AND(COUNTIF(Students!$A$2:$A$500,B764)=1,COUNTIF($A$2:$A$1000,A764)=1,ISNUMBER(H764),ISNUMBER(FIND("@",I764))),"OK","CHECK"))</f>
        <v/>
      </c>
    </row>
    <row r="765" customFormat="false" ht="15" hidden="false" customHeight="false" outlineLevel="0" collapsed="false">
      <c r="F765" s="7"/>
      <c r="H765" s="9"/>
      <c r="J765" s="8"/>
      <c r="K765" s="8"/>
      <c r="M765" s="9"/>
      <c r="P765" s="8"/>
      <c r="Q765" s="8"/>
      <c r="U765" s="0" t="str">
        <f aca="false">IF(A765="","",IF(AND(COUNTIF(Students!$A$2:$A$500,B765)=1,COUNTIF($A$2:$A$1000,A765)=1,ISNUMBER(H765),ISNUMBER(FIND("@",I765))),"OK","CHECK"))</f>
        <v/>
      </c>
    </row>
    <row r="766" customFormat="false" ht="15" hidden="false" customHeight="false" outlineLevel="0" collapsed="false">
      <c r="F766" s="7"/>
      <c r="H766" s="9"/>
      <c r="J766" s="8"/>
      <c r="K766" s="8"/>
      <c r="M766" s="9"/>
      <c r="P766" s="8"/>
      <c r="Q766" s="8"/>
      <c r="U766" s="0" t="str">
        <f aca="false">IF(A766="","",IF(AND(COUNTIF(Students!$A$2:$A$500,B766)=1,COUNTIF($A$2:$A$1000,A766)=1,ISNUMBER(H766),ISNUMBER(FIND("@",I766))),"OK","CHECK"))</f>
        <v/>
      </c>
    </row>
    <row r="767" customFormat="false" ht="15" hidden="false" customHeight="false" outlineLevel="0" collapsed="false">
      <c r="F767" s="7"/>
      <c r="H767" s="9"/>
      <c r="J767" s="8"/>
      <c r="K767" s="8"/>
      <c r="M767" s="9"/>
      <c r="P767" s="8"/>
      <c r="Q767" s="8"/>
      <c r="U767" s="0" t="str">
        <f aca="false">IF(A767="","",IF(AND(COUNTIF(Students!$A$2:$A$500,B767)=1,COUNTIF($A$2:$A$1000,A767)=1,ISNUMBER(H767),ISNUMBER(FIND("@",I767))),"OK","CHECK"))</f>
        <v/>
      </c>
    </row>
    <row r="768" customFormat="false" ht="15" hidden="false" customHeight="false" outlineLevel="0" collapsed="false">
      <c r="F768" s="7"/>
      <c r="H768" s="9"/>
      <c r="J768" s="8"/>
      <c r="K768" s="8"/>
      <c r="M768" s="9"/>
      <c r="P768" s="8"/>
      <c r="Q768" s="8"/>
      <c r="U768" s="0" t="str">
        <f aca="false">IF(A768="","",IF(AND(COUNTIF(Students!$A$2:$A$500,B768)=1,COUNTIF($A$2:$A$1000,A768)=1,ISNUMBER(H768),ISNUMBER(FIND("@",I768))),"OK","CHECK"))</f>
        <v/>
      </c>
    </row>
    <row r="769" customFormat="false" ht="15" hidden="false" customHeight="false" outlineLevel="0" collapsed="false">
      <c r="F769" s="7"/>
      <c r="H769" s="9"/>
      <c r="J769" s="8"/>
      <c r="K769" s="8"/>
      <c r="M769" s="9"/>
      <c r="P769" s="8"/>
      <c r="Q769" s="8"/>
      <c r="U769" s="0" t="str">
        <f aca="false">IF(A769="","",IF(AND(COUNTIF(Students!$A$2:$A$500,B769)=1,COUNTIF($A$2:$A$1000,A769)=1,ISNUMBER(H769),ISNUMBER(FIND("@",I769))),"OK","CHECK"))</f>
        <v/>
      </c>
    </row>
    <row r="770" customFormat="false" ht="15" hidden="false" customHeight="false" outlineLevel="0" collapsed="false">
      <c r="F770" s="7"/>
      <c r="H770" s="9"/>
      <c r="J770" s="8"/>
      <c r="K770" s="8"/>
      <c r="M770" s="9"/>
      <c r="P770" s="8"/>
      <c r="Q770" s="8"/>
      <c r="U770" s="0" t="str">
        <f aca="false">IF(A770="","",IF(AND(COUNTIF(Students!$A$2:$A$500,B770)=1,COUNTIF($A$2:$A$1000,A770)=1,ISNUMBER(H770),ISNUMBER(FIND("@",I770))),"OK","CHECK"))</f>
        <v/>
      </c>
    </row>
    <row r="771" customFormat="false" ht="15" hidden="false" customHeight="false" outlineLevel="0" collapsed="false">
      <c r="F771" s="7"/>
      <c r="H771" s="9"/>
      <c r="J771" s="8"/>
      <c r="K771" s="8"/>
      <c r="M771" s="9"/>
      <c r="P771" s="8"/>
      <c r="Q771" s="8"/>
      <c r="U771" s="0" t="str">
        <f aca="false">IF(A771="","",IF(AND(COUNTIF(Students!$A$2:$A$500,B771)=1,COUNTIF($A$2:$A$1000,A771)=1,ISNUMBER(H771),ISNUMBER(FIND("@",I771))),"OK","CHECK"))</f>
        <v/>
      </c>
    </row>
    <row r="772" customFormat="false" ht="15" hidden="false" customHeight="false" outlineLevel="0" collapsed="false">
      <c r="F772" s="7"/>
      <c r="H772" s="9"/>
      <c r="J772" s="8"/>
      <c r="K772" s="8"/>
      <c r="M772" s="9"/>
      <c r="P772" s="8"/>
      <c r="Q772" s="8"/>
      <c r="U772" s="0" t="str">
        <f aca="false">IF(A772="","",IF(AND(COUNTIF(Students!$A$2:$A$500,B772)=1,COUNTIF($A$2:$A$1000,A772)=1,ISNUMBER(H772),ISNUMBER(FIND("@",I772))),"OK","CHECK"))</f>
        <v/>
      </c>
    </row>
    <row r="773" customFormat="false" ht="15" hidden="false" customHeight="false" outlineLevel="0" collapsed="false">
      <c r="F773" s="7"/>
      <c r="H773" s="9"/>
      <c r="J773" s="8"/>
      <c r="K773" s="8"/>
      <c r="M773" s="9"/>
      <c r="P773" s="8"/>
      <c r="Q773" s="8"/>
      <c r="U773" s="0" t="str">
        <f aca="false">IF(A773="","",IF(AND(COUNTIF(Students!$A$2:$A$500,B773)=1,COUNTIF($A$2:$A$1000,A773)=1,ISNUMBER(H773),ISNUMBER(FIND("@",I773))),"OK","CHECK"))</f>
        <v/>
      </c>
    </row>
    <row r="774" customFormat="false" ht="15" hidden="false" customHeight="false" outlineLevel="0" collapsed="false">
      <c r="F774" s="7"/>
      <c r="H774" s="9"/>
      <c r="J774" s="8"/>
      <c r="K774" s="8"/>
      <c r="M774" s="9"/>
      <c r="P774" s="8"/>
      <c r="Q774" s="8"/>
      <c r="U774" s="0" t="str">
        <f aca="false">IF(A774="","",IF(AND(COUNTIF(Students!$A$2:$A$500,B774)=1,COUNTIF($A$2:$A$1000,A774)=1,ISNUMBER(H774),ISNUMBER(FIND("@",I774))),"OK","CHECK"))</f>
        <v/>
      </c>
    </row>
    <row r="775" customFormat="false" ht="15" hidden="false" customHeight="false" outlineLevel="0" collapsed="false">
      <c r="F775" s="7"/>
      <c r="H775" s="9"/>
      <c r="J775" s="8"/>
      <c r="K775" s="8"/>
      <c r="M775" s="9"/>
      <c r="P775" s="8"/>
      <c r="Q775" s="8"/>
      <c r="U775" s="0" t="str">
        <f aca="false">IF(A775="","",IF(AND(COUNTIF(Students!$A$2:$A$500,B775)=1,COUNTIF($A$2:$A$1000,A775)=1,ISNUMBER(H775),ISNUMBER(FIND("@",I775))),"OK","CHECK"))</f>
        <v/>
      </c>
    </row>
    <row r="776" customFormat="false" ht="15" hidden="false" customHeight="false" outlineLevel="0" collapsed="false">
      <c r="F776" s="7"/>
      <c r="H776" s="9"/>
      <c r="J776" s="8"/>
      <c r="K776" s="8"/>
      <c r="M776" s="9"/>
      <c r="P776" s="8"/>
      <c r="Q776" s="8"/>
      <c r="U776" s="0" t="str">
        <f aca="false">IF(A776="","",IF(AND(COUNTIF(Students!$A$2:$A$500,B776)=1,COUNTIF($A$2:$A$1000,A776)=1,ISNUMBER(H776),ISNUMBER(FIND("@",I776))),"OK","CHECK"))</f>
        <v/>
      </c>
    </row>
    <row r="777" customFormat="false" ht="15" hidden="false" customHeight="false" outlineLevel="0" collapsed="false">
      <c r="F777" s="7"/>
      <c r="H777" s="9"/>
      <c r="J777" s="8"/>
      <c r="K777" s="8"/>
      <c r="M777" s="9"/>
      <c r="P777" s="8"/>
      <c r="Q777" s="8"/>
      <c r="U777" s="0" t="str">
        <f aca="false">IF(A777="","",IF(AND(COUNTIF(Students!$A$2:$A$500,B777)=1,COUNTIF($A$2:$A$1000,A777)=1,ISNUMBER(H777),ISNUMBER(FIND("@",I777))),"OK","CHECK"))</f>
        <v/>
      </c>
    </row>
    <row r="778" customFormat="false" ht="15" hidden="false" customHeight="false" outlineLevel="0" collapsed="false">
      <c r="F778" s="7"/>
      <c r="H778" s="9"/>
      <c r="J778" s="8"/>
      <c r="K778" s="8"/>
      <c r="M778" s="9"/>
      <c r="P778" s="8"/>
      <c r="Q778" s="8"/>
      <c r="U778" s="0" t="str">
        <f aca="false">IF(A778="","",IF(AND(COUNTIF(Students!$A$2:$A$500,B778)=1,COUNTIF($A$2:$A$1000,A778)=1,ISNUMBER(H778),ISNUMBER(FIND("@",I778))),"OK","CHECK"))</f>
        <v/>
      </c>
    </row>
    <row r="779" customFormat="false" ht="15" hidden="false" customHeight="false" outlineLevel="0" collapsed="false">
      <c r="F779" s="7"/>
      <c r="H779" s="9"/>
      <c r="J779" s="8"/>
      <c r="K779" s="8"/>
      <c r="M779" s="9"/>
      <c r="P779" s="8"/>
      <c r="Q779" s="8"/>
      <c r="U779" s="0" t="str">
        <f aca="false">IF(A779="","",IF(AND(COUNTIF(Students!$A$2:$A$500,B779)=1,COUNTIF($A$2:$A$1000,A779)=1,ISNUMBER(H779),ISNUMBER(FIND("@",I779))),"OK","CHECK"))</f>
        <v/>
      </c>
    </row>
    <row r="780" customFormat="false" ht="15" hidden="false" customHeight="false" outlineLevel="0" collapsed="false">
      <c r="F780" s="7"/>
      <c r="H780" s="9"/>
      <c r="J780" s="8"/>
      <c r="K780" s="8"/>
      <c r="M780" s="9"/>
      <c r="P780" s="8"/>
      <c r="Q780" s="8"/>
      <c r="U780" s="0" t="str">
        <f aca="false">IF(A780="","",IF(AND(COUNTIF(Students!$A$2:$A$500,B780)=1,COUNTIF($A$2:$A$1000,A780)=1,ISNUMBER(H780),ISNUMBER(FIND("@",I780))),"OK","CHECK"))</f>
        <v/>
      </c>
    </row>
    <row r="781" customFormat="false" ht="15" hidden="false" customHeight="false" outlineLevel="0" collapsed="false">
      <c r="F781" s="7"/>
      <c r="H781" s="9"/>
      <c r="J781" s="8"/>
      <c r="K781" s="8"/>
      <c r="M781" s="9"/>
      <c r="P781" s="8"/>
      <c r="Q781" s="8"/>
      <c r="U781" s="0" t="str">
        <f aca="false">IF(A781="","",IF(AND(COUNTIF(Students!$A$2:$A$500,B781)=1,COUNTIF($A$2:$A$1000,A781)=1,ISNUMBER(H781),ISNUMBER(FIND("@",I781))),"OK","CHECK"))</f>
        <v/>
      </c>
    </row>
    <row r="782" customFormat="false" ht="15" hidden="false" customHeight="false" outlineLevel="0" collapsed="false">
      <c r="F782" s="7"/>
      <c r="H782" s="9"/>
      <c r="J782" s="8"/>
      <c r="K782" s="8"/>
      <c r="M782" s="9"/>
      <c r="P782" s="8"/>
      <c r="Q782" s="8"/>
      <c r="U782" s="0" t="str">
        <f aca="false">IF(A782="","",IF(AND(COUNTIF(Students!$A$2:$A$500,B782)=1,COUNTIF($A$2:$A$1000,A782)=1,ISNUMBER(H782),ISNUMBER(FIND("@",I782))),"OK","CHECK"))</f>
        <v/>
      </c>
    </row>
    <row r="783" customFormat="false" ht="15" hidden="false" customHeight="false" outlineLevel="0" collapsed="false">
      <c r="F783" s="7"/>
      <c r="H783" s="9"/>
      <c r="J783" s="8"/>
      <c r="K783" s="8"/>
      <c r="M783" s="9"/>
      <c r="P783" s="8"/>
      <c r="Q783" s="8"/>
      <c r="U783" s="0" t="str">
        <f aca="false">IF(A783="","",IF(AND(COUNTIF(Students!$A$2:$A$500,B783)=1,COUNTIF($A$2:$A$1000,A783)=1,ISNUMBER(H783),ISNUMBER(FIND("@",I783))),"OK","CHECK"))</f>
        <v/>
      </c>
    </row>
    <row r="784" customFormat="false" ht="15" hidden="false" customHeight="false" outlineLevel="0" collapsed="false">
      <c r="F784" s="7"/>
      <c r="H784" s="9"/>
      <c r="J784" s="8"/>
      <c r="K784" s="8"/>
      <c r="M784" s="9"/>
      <c r="P784" s="8"/>
      <c r="Q784" s="8"/>
      <c r="U784" s="0" t="str">
        <f aca="false">IF(A784="","",IF(AND(COUNTIF(Students!$A$2:$A$500,B784)=1,COUNTIF($A$2:$A$1000,A784)=1,ISNUMBER(H784),ISNUMBER(FIND("@",I784))),"OK","CHECK"))</f>
        <v/>
      </c>
    </row>
    <row r="785" customFormat="false" ht="15" hidden="false" customHeight="false" outlineLevel="0" collapsed="false">
      <c r="F785" s="7"/>
      <c r="H785" s="9"/>
      <c r="J785" s="8"/>
      <c r="K785" s="8"/>
      <c r="M785" s="9"/>
      <c r="P785" s="8"/>
      <c r="Q785" s="8"/>
      <c r="U785" s="0" t="str">
        <f aca="false">IF(A785="","",IF(AND(COUNTIF(Students!$A$2:$A$500,B785)=1,COUNTIF($A$2:$A$1000,A785)=1,ISNUMBER(H785),ISNUMBER(FIND("@",I785))),"OK","CHECK"))</f>
        <v/>
      </c>
    </row>
    <row r="786" customFormat="false" ht="15" hidden="false" customHeight="false" outlineLevel="0" collapsed="false">
      <c r="F786" s="7"/>
      <c r="H786" s="9"/>
      <c r="J786" s="8"/>
      <c r="K786" s="8"/>
      <c r="M786" s="9"/>
      <c r="P786" s="8"/>
      <c r="Q786" s="8"/>
      <c r="U786" s="0" t="str">
        <f aca="false">IF(A786="","",IF(AND(COUNTIF(Students!$A$2:$A$500,B786)=1,COUNTIF($A$2:$A$1000,A786)=1,ISNUMBER(H786),ISNUMBER(FIND("@",I786))),"OK","CHECK"))</f>
        <v/>
      </c>
    </row>
    <row r="787" customFormat="false" ht="15" hidden="false" customHeight="false" outlineLevel="0" collapsed="false">
      <c r="F787" s="7"/>
      <c r="H787" s="9"/>
      <c r="J787" s="8"/>
      <c r="K787" s="8"/>
      <c r="M787" s="9"/>
      <c r="P787" s="8"/>
      <c r="Q787" s="8"/>
      <c r="U787" s="0" t="str">
        <f aca="false">IF(A787="","",IF(AND(COUNTIF(Students!$A$2:$A$500,B787)=1,COUNTIF($A$2:$A$1000,A787)=1,ISNUMBER(H787),ISNUMBER(FIND("@",I787))),"OK","CHECK"))</f>
        <v/>
      </c>
    </row>
    <row r="788" customFormat="false" ht="15" hidden="false" customHeight="false" outlineLevel="0" collapsed="false">
      <c r="F788" s="7"/>
      <c r="H788" s="9"/>
      <c r="J788" s="8"/>
      <c r="K788" s="8"/>
      <c r="M788" s="9"/>
      <c r="P788" s="8"/>
      <c r="Q788" s="8"/>
      <c r="U788" s="0" t="str">
        <f aca="false">IF(A788="","",IF(AND(COUNTIF(Students!$A$2:$A$500,B788)=1,COUNTIF($A$2:$A$1000,A788)=1,ISNUMBER(H788),ISNUMBER(FIND("@",I788))),"OK","CHECK"))</f>
        <v/>
      </c>
    </row>
    <row r="789" customFormat="false" ht="15" hidden="false" customHeight="false" outlineLevel="0" collapsed="false">
      <c r="F789" s="7"/>
      <c r="H789" s="9"/>
      <c r="J789" s="8"/>
      <c r="K789" s="8"/>
      <c r="M789" s="9"/>
      <c r="P789" s="8"/>
      <c r="Q789" s="8"/>
      <c r="U789" s="0" t="str">
        <f aca="false">IF(A789="","",IF(AND(COUNTIF(Students!$A$2:$A$500,B789)=1,COUNTIF($A$2:$A$1000,A789)=1,ISNUMBER(H789),ISNUMBER(FIND("@",I789))),"OK","CHECK"))</f>
        <v/>
      </c>
    </row>
    <row r="790" customFormat="false" ht="15" hidden="false" customHeight="false" outlineLevel="0" collapsed="false">
      <c r="F790" s="7"/>
      <c r="H790" s="9"/>
      <c r="J790" s="8"/>
      <c r="K790" s="8"/>
      <c r="M790" s="9"/>
      <c r="P790" s="8"/>
      <c r="Q790" s="8"/>
      <c r="U790" s="0" t="str">
        <f aca="false">IF(A790="","",IF(AND(COUNTIF(Students!$A$2:$A$500,B790)=1,COUNTIF($A$2:$A$1000,A790)=1,ISNUMBER(H790),ISNUMBER(FIND("@",I790))),"OK","CHECK"))</f>
        <v/>
      </c>
    </row>
    <row r="791" customFormat="false" ht="15" hidden="false" customHeight="false" outlineLevel="0" collapsed="false">
      <c r="F791" s="7"/>
      <c r="H791" s="9"/>
      <c r="J791" s="8"/>
      <c r="K791" s="8"/>
      <c r="M791" s="9"/>
      <c r="P791" s="8"/>
      <c r="Q791" s="8"/>
      <c r="U791" s="0" t="str">
        <f aca="false">IF(A791="","",IF(AND(COUNTIF(Students!$A$2:$A$500,B791)=1,COUNTIF($A$2:$A$1000,A791)=1,ISNUMBER(H791),ISNUMBER(FIND("@",I791))),"OK","CHECK"))</f>
        <v/>
      </c>
    </row>
    <row r="792" customFormat="false" ht="15" hidden="false" customHeight="false" outlineLevel="0" collapsed="false">
      <c r="F792" s="7"/>
      <c r="H792" s="9"/>
      <c r="J792" s="8"/>
      <c r="K792" s="8"/>
      <c r="M792" s="9"/>
      <c r="P792" s="8"/>
      <c r="Q792" s="8"/>
      <c r="U792" s="0" t="str">
        <f aca="false">IF(A792="","",IF(AND(COUNTIF(Students!$A$2:$A$500,B792)=1,COUNTIF($A$2:$A$1000,A792)=1,ISNUMBER(H792),ISNUMBER(FIND("@",I792))),"OK","CHECK"))</f>
        <v/>
      </c>
    </row>
    <row r="793" customFormat="false" ht="15" hidden="false" customHeight="false" outlineLevel="0" collapsed="false">
      <c r="F793" s="7"/>
      <c r="H793" s="9"/>
      <c r="J793" s="8"/>
      <c r="K793" s="8"/>
      <c r="M793" s="9"/>
      <c r="P793" s="8"/>
      <c r="Q793" s="8"/>
      <c r="U793" s="0" t="str">
        <f aca="false">IF(A793="","",IF(AND(COUNTIF(Students!$A$2:$A$500,B793)=1,COUNTIF($A$2:$A$1000,A793)=1,ISNUMBER(H793),ISNUMBER(FIND("@",I793))),"OK","CHECK"))</f>
        <v/>
      </c>
    </row>
    <row r="794" customFormat="false" ht="15" hidden="false" customHeight="false" outlineLevel="0" collapsed="false">
      <c r="F794" s="7"/>
      <c r="H794" s="9"/>
      <c r="J794" s="8"/>
      <c r="K794" s="8"/>
      <c r="M794" s="9"/>
      <c r="P794" s="8"/>
      <c r="Q794" s="8"/>
      <c r="U794" s="0" t="str">
        <f aca="false">IF(A794="","",IF(AND(COUNTIF(Students!$A$2:$A$500,B794)=1,COUNTIF($A$2:$A$1000,A794)=1,ISNUMBER(H794),ISNUMBER(FIND("@",I794))),"OK","CHECK"))</f>
        <v/>
      </c>
    </row>
    <row r="795" customFormat="false" ht="15" hidden="false" customHeight="false" outlineLevel="0" collapsed="false">
      <c r="F795" s="7"/>
      <c r="H795" s="9"/>
      <c r="J795" s="8"/>
      <c r="K795" s="8"/>
      <c r="M795" s="9"/>
      <c r="P795" s="8"/>
      <c r="Q795" s="8"/>
      <c r="U795" s="0" t="str">
        <f aca="false">IF(A795="","",IF(AND(COUNTIF(Students!$A$2:$A$500,B795)=1,COUNTIF($A$2:$A$1000,A795)=1,ISNUMBER(H795),ISNUMBER(FIND("@",I795))),"OK","CHECK"))</f>
        <v/>
      </c>
    </row>
    <row r="796" customFormat="false" ht="15" hidden="false" customHeight="false" outlineLevel="0" collapsed="false">
      <c r="F796" s="7"/>
      <c r="H796" s="9"/>
      <c r="J796" s="8"/>
      <c r="K796" s="8"/>
      <c r="M796" s="9"/>
      <c r="P796" s="8"/>
      <c r="Q796" s="8"/>
      <c r="U796" s="0" t="str">
        <f aca="false">IF(A796="","",IF(AND(COUNTIF(Students!$A$2:$A$500,B796)=1,COUNTIF($A$2:$A$1000,A796)=1,ISNUMBER(H796),ISNUMBER(FIND("@",I796))),"OK","CHECK"))</f>
        <v/>
      </c>
    </row>
    <row r="797" customFormat="false" ht="15" hidden="false" customHeight="false" outlineLevel="0" collapsed="false">
      <c r="F797" s="7"/>
      <c r="H797" s="9"/>
      <c r="J797" s="8"/>
      <c r="K797" s="8"/>
      <c r="M797" s="9"/>
      <c r="P797" s="8"/>
      <c r="Q797" s="8"/>
      <c r="U797" s="0" t="str">
        <f aca="false">IF(A797="","",IF(AND(COUNTIF(Students!$A$2:$A$500,B797)=1,COUNTIF($A$2:$A$1000,A797)=1,ISNUMBER(H797),ISNUMBER(FIND("@",I797))),"OK","CHECK"))</f>
        <v/>
      </c>
    </row>
    <row r="798" customFormat="false" ht="15" hidden="false" customHeight="false" outlineLevel="0" collapsed="false">
      <c r="F798" s="7"/>
      <c r="H798" s="9"/>
      <c r="J798" s="8"/>
      <c r="K798" s="8"/>
      <c r="M798" s="9"/>
      <c r="P798" s="8"/>
      <c r="Q798" s="8"/>
      <c r="U798" s="0" t="str">
        <f aca="false">IF(A798="","",IF(AND(COUNTIF(Students!$A$2:$A$500,B798)=1,COUNTIF($A$2:$A$1000,A798)=1,ISNUMBER(H798),ISNUMBER(FIND("@",I798))),"OK","CHECK"))</f>
        <v/>
      </c>
    </row>
    <row r="799" customFormat="false" ht="15" hidden="false" customHeight="false" outlineLevel="0" collapsed="false">
      <c r="F799" s="7"/>
      <c r="H799" s="9"/>
      <c r="J799" s="8"/>
      <c r="K799" s="8"/>
      <c r="M799" s="9"/>
      <c r="P799" s="8"/>
      <c r="Q799" s="8"/>
      <c r="U799" s="0" t="str">
        <f aca="false">IF(A799="","",IF(AND(COUNTIF(Students!$A$2:$A$500,B799)=1,COUNTIF($A$2:$A$1000,A799)=1,ISNUMBER(H799),ISNUMBER(FIND("@",I799))),"OK","CHECK"))</f>
        <v/>
      </c>
    </row>
    <row r="800" customFormat="false" ht="15" hidden="false" customHeight="false" outlineLevel="0" collapsed="false">
      <c r="F800" s="7"/>
      <c r="H800" s="9"/>
      <c r="J800" s="8"/>
      <c r="K800" s="8"/>
      <c r="M800" s="9"/>
      <c r="P800" s="8"/>
      <c r="Q800" s="8"/>
      <c r="U800" s="0" t="str">
        <f aca="false">IF(A800="","",IF(AND(COUNTIF(Students!$A$2:$A$500,B800)=1,COUNTIF($A$2:$A$1000,A800)=1,ISNUMBER(H800),ISNUMBER(FIND("@",I800))),"OK","CHECK"))</f>
        <v/>
      </c>
    </row>
    <row r="801" customFormat="false" ht="15" hidden="false" customHeight="false" outlineLevel="0" collapsed="false">
      <c r="F801" s="7"/>
      <c r="H801" s="9"/>
      <c r="J801" s="8"/>
      <c r="K801" s="8"/>
      <c r="M801" s="9"/>
      <c r="P801" s="8"/>
      <c r="Q801" s="8"/>
      <c r="U801" s="0" t="str">
        <f aca="false">IF(A801="","",IF(AND(COUNTIF(Students!$A$2:$A$500,B801)=1,COUNTIF($A$2:$A$1000,A801)=1,ISNUMBER(H801),ISNUMBER(FIND("@",I801))),"OK","CHECK"))</f>
        <v/>
      </c>
    </row>
    <row r="802" customFormat="false" ht="15" hidden="false" customHeight="false" outlineLevel="0" collapsed="false">
      <c r="F802" s="7"/>
      <c r="H802" s="9"/>
      <c r="J802" s="8"/>
      <c r="K802" s="8"/>
      <c r="M802" s="9"/>
      <c r="P802" s="8"/>
      <c r="Q802" s="8"/>
      <c r="U802" s="0" t="str">
        <f aca="false">IF(A802="","",IF(AND(COUNTIF(Students!$A$2:$A$500,B802)=1,COUNTIF($A$2:$A$1000,A802)=1,ISNUMBER(H802),ISNUMBER(FIND("@",I802))),"OK","CHECK"))</f>
        <v/>
      </c>
    </row>
    <row r="803" customFormat="false" ht="15" hidden="false" customHeight="false" outlineLevel="0" collapsed="false">
      <c r="F803" s="7"/>
      <c r="H803" s="9"/>
      <c r="J803" s="8"/>
      <c r="K803" s="8"/>
      <c r="M803" s="9"/>
      <c r="P803" s="8"/>
      <c r="Q803" s="8"/>
      <c r="U803" s="0" t="str">
        <f aca="false">IF(A803="","",IF(AND(COUNTIF(Students!$A$2:$A$500,B803)=1,COUNTIF($A$2:$A$1000,A803)=1,ISNUMBER(H803),ISNUMBER(FIND("@",I803))),"OK","CHECK"))</f>
        <v/>
      </c>
    </row>
    <row r="804" customFormat="false" ht="15" hidden="false" customHeight="false" outlineLevel="0" collapsed="false">
      <c r="F804" s="7"/>
      <c r="H804" s="9"/>
      <c r="J804" s="8"/>
      <c r="K804" s="8"/>
      <c r="M804" s="9"/>
      <c r="P804" s="8"/>
      <c r="Q804" s="8"/>
      <c r="U804" s="0" t="str">
        <f aca="false">IF(A804="","",IF(AND(COUNTIF(Students!$A$2:$A$500,B804)=1,COUNTIF($A$2:$A$1000,A804)=1,ISNUMBER(H804),ISNUMBER(FIND("@",I804))),"OK","CHECK"))</f>
        <v/>
      </c>
    </row>
    <row r="805" customFormat="false" ht="15" hidden="false" customHeight="false" outlineLevel="0" collapsed="false">
      <c r="F805" s="7"/>
      <c r="H805" s="9"/>
      <c r="J805" s="8"/>
      <c r="K805" s="8"/>
      <c r="M805" s="9"/>
      <c r="P805" s="8"/>
      <c r="Q805" s="8"/>
      <c r="U805" s="0" t="str">
        <f aca="false">IF(A805="","",IF(AND(COUNTIF(Students!$A$2:$A$500,B805)=1,COUNTIF($A$2:$A$1000,A805)=1,ISNUMBER(H805),ISNUMBER(FIND("@",I805))),"OK","CHECK"))</f>
        <v/>
      </c>
    </row>
    <row r="806" customFormat="false" ht="15" hidden="false" customHeight="false" outlineLevel="0" collapsed="false">
      <c r="F806" s="7"/>
      <c r="H806" s="9"/>
      <c r="J806" s="8"/>
      <c r="K806" s="8"/>
      <c r="M806" s="9"/>
      <c r="P806" s="8"/>
      <c r="Q806" s="8"/>
      <c r="U806" s="0" t="str">
        <f aca="false">IF(A806="","",IF(AND(COUNTIF(Students!$A$2:$A$500,B806)=1,COUNTIF($A$2:$A$1000,A806)=1,ISNUMBER(H806),ISNUMBER(FIND("@",I806))),"OK","CHECK"))</f>
        <v/>
      </c>
    </row>
    <row r="807" customFormat="false" ht="15" hidden="false" customHeight="false" outlineLevel="0" collapsed="false">
      <c r="F807" s="7"/>
      <c r="H807" s="9"/>
      <c r="J807" s="8"/>
      <c r="K807" s="8"/>
      <c r="M807" s="9"/>
      <c r="P807" s="8"/>
      <c r="Q807" s="8"/>
      <c r="U807" s="0" t="str">
        <f aca="false">IF(A807="","",IF(AND(COUNTIF(Students!$A$2:$A$500,B807)=1,COUNTIF($A$2:$A$1000,A807)=1,ISNUMBER(H807),ISNUMBER(FIND("@",I807))),"OK","CHECK"))</f>
        <v/>
      </c>
    </row>
    <row r="808" customFormat="false" ht="15" hidden="false" customHeight="false" outlineLevel="0" collapsed="false">
      <c r="F808" s="7"/>
      <c r="H808" s="9"/>
      <c r="J808" s="8"/>
      <c r="K808" s="8"/>
      <c r="M808" s="9"/>
      <c r="P808" s="8"/>
      <c r="Q808" s="8"/>
      <c r="U808" s="0" t="str">
        <f aca="false">IF(A808="","",IF(AND(COUNTIF(Students!$A$2:$A$500,B808)=1,COUNTIF($A$2:$A$1000,A808)=1,ISNUMBER(H808),ISNUMBER(FIND("@",I808))),"OK","CHECK"))</f>
        <v/>
      </c>
    </row>
    <row r="809" customFormat="false" ht="15" hidden="false" customHeight="false" outlineLevel="0" collapsed="false">
      <c r="F809" s="7"/>
      <c r="H809" s="9"/>
      <c r="J809" s="8"/>
      <c r="K809" s="8"/>
      <c r="M809" s="9"/>
      <c r="P809" s="8"/>
      <c r="Q809" s="8"/>
      <c r="U809" s="0" t="str">
        <f aca="false">IF(A809="","",IF(AND(COUNTIF(Students!$A$2:$A$500,B809)=1,COUNTIF($A$2:$A$1000,A809)=1,ISNUMBER(H809),ISNUMBER(FIND("@",I809))),"OK","CHECK"))</f>
        <v/>
      </c>
    </row>
    <row r="810" customFormat="false" ht="15" hidden="false" customHeight="false" outlineLevel="0" collapsed="false">
      <c r="F810" s="7"/>
      <c r="H810" s="9"/>
      <c r="J810" s="8"/>
      <c r="K810" s="8"/>
      <c r="M810" s="9"/>
      <c r="P810" s="8"/>
      <c r="Q810" s="8"/>
      <c r="U810" s="0" t="str">
        <f aca="false">IF(A810="","",IF(AND(COUNTIF(Students!$A$2:$A$500,B810)=1,COUNTIF($A$2:$A$1000,A810)=1,ISNUMBER(H810),ISNUMBER(FIND("@",I810))),"OK","CHECK"))</f>
        <v/>
      </c>
    </row>
    <row r="811" customFormat="false" ht="15" hidden="false" customHeight="false" outlineLevel="0" collapsed="false">
      <c r="F811" s="7"/>
      <c r="H811" s="9"/>
      <c r="J811" s="8"/>
      <c r="K811" s="8"/>
      <c r="M811" s="9"/>
      <c r="P811" s="8"/>
      <c r="Q811" s="8"/>
      <c r="U811" s="0" t="str">
        <f aca="false">IF(A811="","",IF(AND(COUNTIF(Students!$A$2:$A$500,B811)=1,COUNTIF($A$2:$A$1000,A811)=1,ISNUMBER(H811),ISNUMBER(FIND("@",I811))),"OK","CHECK"))</f>
        <v/>
      </c>
    </row>
    <row r="812" customFormat="false" ht="15" hidden="false" customHeight="false" outlineLevel="0" collapsed="false">
      <c r="F812" s="7"/>
      <c r="H812" s="9"/>
      <c r="J812" s="8"/>
      <c r="K812" s="8"/>
      <c r="M812" s="9"/>
      <c r="P812" s="8"/>
      <c r="Q812" s="8"/>
      <c r="U812" s="0" t="str">
        <f aca="false">IF(A812="","",IF(AND(COUNTIF(Students!$A$2:$A$500,B812)=1,COUNTIF($A$2:$A$1000,A812)=1,ISNUMBER(H812),ISNUMBER(FIND("@",I812))),"OK","CHECK"))</f>
        <v/>
      </c>
    </row>
    <row r="813" customFormat="false" ht="15" hidden="false" customHeight="false" outlineLevel="0" collapsed="false">
      <c r="F813" s="7"/>
      <c r="H813" s="9"/>
      <c r="J813" s="8"/>
      <c r="K813" s="8"/>
      <c r="M813" s="9"/>
      <c r="P813" s="8"/>
      <c r="Q813" s="8"/>
      <c r="U813" s="0" t="str">
        <f aca="false">IF(A813="","",IF(AND(COUNTIF(Students!$A$2:$A$500,B813)=1,COUNTIF($A$2:$A$1000,A813)=1,ISNUMBER(H813),ISNUMBER(FIND("@",I813))),"OK","CHECK"))</f>
        <v/>
      </c>
    </row>
    <row r="814" customFormat="false" ht="15" hidden="false" customHeight="false" outlineLevel="0" collapsed="false">
      <c r="F814" s="7"/>
      <c r="H814" s="9"/>
      <c r="J814" s="8"/>
      <c r="K814" s="8"/>
      <c r="M814" s="9"/>
      <c r="P814" s="8"/>
      <c r="Q814" s="8"/>
      <c r="U814" s="0" t="str">
        <f aca="false">IF(A814="","",IF(AND(COUNTIF(Students!$A$2:$A$500,B814)=1,COUNTIF($A$2:$A$1000,A814)=1,ISNUMBER(H814),ISNUMBER(FIND("@",I814))),"OK","CHECK"))</f>
        <v/>
      </c>
    </row>
    <row r="815" customFormat="false" ht="15" hidden="false" customHeight="false" outlineLevel="0" collapsed="false">
      <c r="F815" s="7"/>
      <c r="H815" s="9"/>
      <c r="J815" s="8"/>
      <c r="K815" s="8"/>
      <c r="M815" s="9"/>
      <c r="P815" s="8"/>
      <c r="Q815" s="8"/>
      <c r="U815" s="0" t="str">
        <f aca="false">IF(A815="","",IF(AND(COUNTIF(Students!$A$2:$A$500,B815)=1,COUNTIF($A$2:$A$1000,A815)=1,ISNUMBER(H815),ISNUMBER(FIND("@",I815))),"OK","CHECK"))</f>
        <v/>
      </c>
    </row>
    <row r="816" customFormat="false" ht="15" hidden="false" customHeight="false" outlineLevel="0" collapsed="false">
      <c r="F816" s="7"/>
      <c r="H816" s="9"/>
      <c r="J816" s="8"/>
      <c r="K816" s="8"/>
      <c r="M816" s="9"/>
      <c r="P816" s="8"/>
      <c r="Q816" s="8"/>
      <c r="U816" s="0" t="str">
        <f aca="false">IF(A816="","",IF(AND(COUNTIF(Students!$A$2:$A$500,B816)=1,COUNTIF($A$2:$A$1000,A816)=1,ISNUMBER(H816),ISNUMBER(FIND("@",I816))),"OK","CHECK"))</f>
        <v/>
      </c>
    </row>
    <row r="817" customFormat="false" ht="15" hidden="false" customHeight="false" outlineLevel="0" collapsed="false">
      <c r="F817" s="7"/>
      <c r="H817" s="9"/>
      <c r="J817" s="8"/>
      <c r="K817" s="8"/>
      <c r="M817" s="9"/>
      <c r="P817" s="8"/>
      <c r="Q817" s="8"/>
      <c r="U817" s="0" t="str">
        <f aca="false">IF(A817="","",IF(AND(COUNTIF(Students!$A$2:$A$500,B817)=1,COUNTIF($A$2:$A$1000,A817)=1,ISNUMBER(H817),ISNUMBER(FIND("@",I817))),"OK","CHECK"))</f>
        <v/>
      </c>
    </row>
    <row r="818" customFormat="false" ht="15" hidden="false" customHeight="false" outlineLevel="0" collapsed="false">
      <c r="F818" s="7"/>
      <c r="H818" s="9"/>
      <c r="J818" s="8"/>
      <c r="K818" s="8"/>
      <c r="M818" s="9"/>
      <c r="P818" s="8"/>
      <c r="Q818" s="8"/>
      <c r="U818" s="0" t="str">
        <f aca="false">IF(A818="","",IF(AND(COUNTIF(Students!$A$2:$A$500,B818)=1,COUNTIF($A$2:$A$1000,A818)=1,ISNUMBER(H818),ISNUMBER(FIND("@",I818))),"OK","CHECK"))</f>
        <v/>
      </c>
    </row>
    <row r="819" customFormat="false" ht="15" hidden="false" customHeight="false" outlineLevel="0" collapsed="false">
      <c r="F819" s="7"/>
      <c r="H819" s="9"/>
      <c r="J819" s="8"/>
      <c r="K819" s="8"/>
      <c r="M819" s="9"/>
      <c r="P819" s="8"/>
      <c r="Q819" s="8"/>
      <c r="U819" s="0" t="str">
        <f aca="false">IF(A819="","",IF(AND(COUNTIF(Students!$A$2:$A$500,B819)=1,COUNTIF($A$2:$A$1000,A819)=1,ISNUMBER(H819),ISNUMBER(FIND("@",I819))),"OK","CHECK"))</f>
        <v/>
      </c>
    </row>
    <row r="820" customFormat="false" ht="15" hidden="false" customHeight="false" outlineLevel="0" collapsed="false">
      <c r="F820" s="7"/>
      <c r="H820" s="9"/>
      <c r="J820" s="8"/>
      <c r="K820" s="8"/>
      <c r="M820" s="9"/>
      <c r="P820" s="8"/>
      <c r="Q820" s="8"/>
      <c r="U820" s="0" t="str">
        <f aca="false">IF(A820="","",IF(AND(COUNTIF(Students!$A$2:$A$500,B820)=1,COUNTIF($A$2:$A$1000,A820)=1,ISNUMBER(H820),ISNUMBER(FIND("@",I820))),"OK","CHECK"))</f>
        <v/>
      </c>
    </row>
    <row r="821" customFormat="false" ht="15" hidden="false" customHeight="false" outlineLevel="0" collapsed="false">
      <c r="F821" s="7"/>
      <c r="H821" s="9"/>
      <c r="J821" s="8"/>
      <c r="K821" s="8"/>
      <c r="M821" s="9"/>
      <c r="P821" s="8"/>
      <c r="Q821" s="8"/>
      <c r="U821" s="0" t="str">
        <f aca="false">IF(A821="","",IF(AND(COUNTIF(Students!$A$2:$A$500,B821)=1,COUNTIF($A$2:$A$1000,A821)=1,ISNUMBER(H821),ISNUMBER(FIND("@",I821))),"OK","CHECK"))</f>
        <v/>
      </c>
    </row>
    <row r="822" customFormat="false" ht="15" hidden="false" customHeight="false" outlineLevel="0" collapsed="false">
      <c r="F822" s="7"/>
      <c r="H822" s="9"/>
      <c r="J822" s="8"/>
      <c r="K822" s="8"/>
      <c r="M822" s="9"/>
      <c r="P822" s="8"/>
      <c r="Q822" s="8"/>
      <c r="U822" s="0" t="str">
        <f aca="false">IF(A822="","",IF(AND(COUNTIF(Students!$A$2:$A$500,B822)=1,COUNTIF($A$2:$A$1000,A822)=1,ISNUMBER(H822),ISNUMBER(FIND("@",I822))),"OK","CHECK"))</f>
        <v/>
      </c>
    </row>
    <row r="823" customFormat="false" ht="15" hidden="false" customHeight="false" outlineLevel="0" collapsed="false">
      <c r="F823" s="7"/>
      <c r="H823" s="9"/>
      <c r="J823" s="8"/>
      <c r="K823" s="8"/>
      <c r="M823" s="9"/>
      <c r="P823" s="8"/>
      <c r="Q823" s="8"/>
      <c r="U823" s="0" t="str">
        <f aca="false">IF(A823="","",IF(AND(COUNTIF(Students!$A$2:$A$500,B823)=1,COUNTIF($A$2:$A$1000,A823)=1,ISNUMBER(H823),ISNUMBER(FIND("@",I823))),"OK","CHECK"))</f>
        <v/>
      </c>
    </row>
    <row r="824" customFormat="false" ht="15" hidden="false" customHeight="false" outlineLevel="0" collapsed="false">
      <c r="F824" s="7"/>
      <c r="H824" s="9"/>
      <c r="J824" s="8"/>
      <c r="K824" s="8"/>
      <c r="M824" s="9"/>
      <c r="P824" s="8"/>
      <c r="Q824" s="8"/>
      <c r="U824" s="0" t="str">
        <f aca="false">IF(A824="","",IF(AND(COUNTIF(Students!$A$2:$A$500,B824)=1,COUNTIF($A$2:$A$1000,A824)=1,ISNUMBER(H824),ISNUMBER(FIND("@",I824))),"OK","CHECK"))</f>
        <v/>
      </c>
    </row>
    <row r="825" customFormat="false" ht="15" hidden="false" customHeight="false" outlineLevel="0" collapsed="false">
      <c r="F825" s="7"/>
      <c r="H825" s="9"/>
      <c r="J825" s="8"/>
      <c r="K825" s="8"/>
      <c r="M825" s="9"/>
      <c r="P825" s="8"/>
      <c r="Q825" s="8"/>
      <c r="U825" s="0" t="str">
        <f aca="false">IF(A825="","",IF(AND(COUNTIF(Students!$A$2:$A$500,B825)=1,COUNTIF($A$2:$A$1000,A825)=1,ISNUMBER(H825),ISNUMBER(FIND("@",I825))),"OK","CHECK"))</f>
        <v/>
      </c>
    </row>
    <row r="826" customFormat="false" ht="15" hidden="false" customHeight="false" outlineLevel="0" collapsed="false">
      <c r="F826" s="7"/>
      <c r="H826" s="9"/>
      <c r="J826" s="8"/>
      <c r="K826" s="8"/>
      <c r="M826" s="9"/>
      <c r="P826" s="8"/>
      <c r="Q826" s="8"/>
      <c r="U826" s="0" t="str">
        <f aca="false">IF(A826="","",IF(AND(COUNTIF(Students!$A$2:$A$500,B826)=1,COUNTIF($A$2:$A$1000,A826)=1,ISNUMBER(H826),ISNUMBER(FIND("@",I826))),"OK","CHECK"))</f>
        <v/>
      </c>
    </row>
    <row r="827" customFormat="false" ht="15" hidden="false" customHeight="false" outlineLevel="0" collapsed="false">
      <c r="F827" s="7"/>
      <c r="H827" s="9"/>
      <c r="J827" s="8"/>
      <c r="K827" s="8"/>
      <c r="M827" s="9"/>
      <c r="P827" s="8"/>
      <c r="Q827" s="8"/>
      <c r="U827" s="0" t="str">
        <f aca="false">IF(A827="","",IF(AND(COUNTIF(Students!$A$2:$A$500,B827)=1,COUNTIF($A$2:$A$1000,A827)=1,ISNUMBER(H827),ISNUMBER(FIND("@",I827))),"OK","CHECK"))</f>
        <v/>
      </c>
    </row>
    <row r="828" customFormat="false" ht="15" hidden="false" customHeight="false" outlineLevel="0" collapsed="false">
      <c r="F828" s="7"/>
      <c r="H828" s="9"/>
      <c r="J828" s="8"/>
      <c r="K828" s="8"/>
      <c r="M828" s="9"/>
      <c r="P828" s="8"/>
      <c r="Q828" s="8"/>
      <c r="U828" s="0" t="str">
        <f aca="false">IF(A828="","",IF(AND(COUNTIF(Students!$A$2:$A$500,B828)=1,COUNTIF($A$2:$A$1000,A828)=1,ISNUMBER(H828),ISNUMBER(FIND("@",I828))),"OK","CHECK"))</f>
        <v/>
      </c>
    </row>
    <row r="829" customFormat="false" ht="15" hidden="false" customHeight="false" outlineLevel="0" collapsed="false">
      <c r="F829" s="7"/>
      <c r="H829" s="9"/>
      <c r="J829" s="8"/>
      <c r="K829" s="8"/>
      <c r="M829" s="9"/>
      <c r="P829" s="8"/>
      <c r="Q829" s="8"/>
      <c r="U829" s="0" t="str">
        <f aca="false">IF(A829="","",IF(AND(COUNTIF(Students!$A$2:$A$500,B829)=1,COUNTIF($A$2:$A$1000,A829)=1,ISNUMBER(H829),ISNUMBER(FIND("@",I829))),"OK","CHECK"))</f>
        <v/>
      </c>
    </row>
    <row r="830" customFormat="false" ht="15" hidden="false" customHeight="false" outlineLevel="0" collapsed="false">
      <c r="F830" s="7"/>
      <c r="H830" s="9"/>
      <c r="J830" s="8"/>
      <c r="K830" s="8"/>
      <c r="M830" s="9"/>
      <c r="P830" s="8"/>
      <c r="Q830" s="8"/>
      <c r="U830" s="0" t="str">
        <f aca="false">IF(A830="","",IF(AND(COUNTIF(Students!$A$2:$A$500,B830)=1,COUNTIF($A$2:$A$1000,A830)=1,ISNUMBER(H830),ISNUMBER(FIND("@",I830))),"OK","CHECK"))</f>
        <v/>
      </c>
    </row>
    <row r="831" customFormat="false" ht="15" hidden="false" customHeight="false" outlineLevel="0" collapsed="false">
      <c r="F831" s="7"/>
      <c r="H831" s="9"/>
      <c r="J831" s="8"/>
      <c r="K831" s="8"/>
      <c r="M831" s="9"/>
      <c r="P831" s="8"/>
      <c r="Q831" s="8"/>
      <c r="U831" s="0" t="str">
        <f aca="false">IF(A831="","",IF(AND(COUNTIF(Students!$A$2:$A$500,B831)=1,COUNTIF($A$2:$A$1000,A831)=1,ISNUMBER(H831),ISNUMBER(FIND("@",I831))),"OK","CHECK"))</f>
        <v/>
      </c>
    </row>
    <row r="832" customFormat="false" ht="15" hidden="false" customHeight="false" outlineLevel="0" collapsed="false">
      <c r="F832" s="7"/>
      <c r="H832" s="9"/>
      <c r="J832" s="8"/>
      <c r="K832" s="8"/>
      <c r="M832" s="9"/>
      <c r="P832" s="8"/>
      <c r="Q832" s="8"/>
      <c r="U832" s="0" t="str">
        <f aca="false">IF(A832="","",IF(AND(COUNTIF(Students!$A$2:$A$500,B832)=1,COUNTIF($A$2:$A$1000,A832)=1,ISNUMBER(H832),ISNUMBER(FIND("@",I832))),"OK","CHECK"))</f>
        <v/>
      </c>
    </row>
    <row r="833" customFormat="false" ht="15" hidden="false" customHeight="false" outlineLevel="0" collapsed="false">
      <c r="F833" s="7"/>
      <c r="H833" s="9"/>
      <c r="J833" s="8"/>
      <c r="K833" s="8"/>
      <c r="M833" s="9"/>
      <c r="P833" s="8"/>
      <c r="Q833" s="8"/>
      <c r="U833" s="0" t="str">
        <f aca="false">IF(A833="","",IF(AND(COUNTIF(Students!$A$2:$A$500,B833)=1,COUNTIF($A$2:$A$1000,A833)=1,ISNUMBER(H833),ISNUMBER(FIND("@",I833))),"OK","CHECK"))</f>
        <v/>
      </c>
    </row>
    <row r="834" customFormat="false" ht="15" hidden="false" customHeight="false" outlineLevel="0" collapsed="false">
      <c r="F834" s="7"/>
      <c r="H834" s="9"/>
      <c r="J834" s="8"/>
      <c r="K834" s="8"/>
      <c r="M834" s="9"/>
      <c r="P834" s="8"/>
      <c r="Q834" s="8"/>
      <c r="U834" s="0" t="str">
        <f aca="false">IF(A834="","",IF(AND(COUNTIF(Students!$A$2:$A$500,B834)=1,COUNTIF($A$2:$A$1000,A834)=1,ISNUMBER(H834),ISNUMBER(FIND("@",I834))),"OK","CHECK"))</f>
        <v/>
      </c>
    </row>
    <row r="835" customFormat="false" ht="15" hidden="false" customHeight="false" outlineLevel="0" collapsed="false">
      <c r="F835" s="7"/>
      <c r="H835" s="9"/>
      <c r="J835" s="8"/>
      <c r="K835" s="8"/>
      <c r="M835" s="9"/>
      <c r="P835" s="8"/>
      <c r="Q835" s="8"/>
      <c r="U835" s="0" t="str">
        <f aca="false">IF(A835="","",IF(AND(COUNTIF(Students!$A$2:$A$500,B835)=1,COUNTIF($A$2:$A$1000,A835)=1,ISNUMBER(H835),ISNUMBER(FIND("@",I835))),"OK","CHECK"))</f>
        <v/>
      </c>
    </row>
    <row r="836" customFormat="false" ht="15" hidden="false" customHeight="false" outlineLevel="0" collapsed="false">
      <c r="F836" s="7"/>
      <c r="H836" s="9"/>
      <c r="J836" s="8"/>
      <c r="K836" s="8"/>
      <c r="M836" s="9"/>
      <c r="P836" s="8"/>
      <c r="Q836" s="8"/>
      <c r="U836" s="0" t="str">
        <f aca="false">IF(A836="","",IF(AND(COUNTIF(Students!$A$2:$A$500,B836)=1,COUNTIF($A$2:$A$1000,A836)=1,ISNUMBER(H836),ISNUMBER(FIND("@",I836))),"OK","CHECK"))</f>
        <v/>
      </c>
    </row>
    <row r="837" customFormat="false" ht="15" hidden="false" customHeight="false" outlineLevel="0" collapsed="false">
      <c r="F837" s="7"/>
      <c r="H837" s="9"/>
      <c r="J837" s="8"/>
      <c r="K837" s="8"/>
      <c r="M837" s="9"/>
      <c r="P837" s="8"/>
      <c r="Q837" s="8"/>
      <c r="U837" s="0" t="str">
        <f aca="false">IF(A837="","",IF(AND(COUNTIF(Students!$A$2:$A$500,B837)=1,COUNTIF($A$2:$A$1000,A837)=1,ISNUMBER(H837),ISNUMBER(FIND("@",I837))),"OK","CHECK"))</f>
        <v/>
      </c>
    </row>
    <row r="838" customFormat="false" ht="15" hidden="false" customHeight="false" outlineLevel="0" collapsed="false">
      <c r="F838" s="7"/>
      <c r="H838" s="9"/>
      <c r="J838" s="8"/>
      <c r="K838" s="8"/>
      <c r="M838" s="9"/>
      <c r="P838" s="8"/>
      <c r="Q838" s="8"/>
      <c r="U838" s="0" t="str">
        <f aca="false">IF(A838="","",IF(AND(COUNTIF(Students!$A$2:$A$500,B838)=1,COUNTIF($A$2:$A$1000,A838)=1,ISNUMBER(H838),ISNUMBER(FIND("@",I838))),"OK","CHECK"))</f>
        <v/>
      </c>
    </row>
    <row r="839" customFormat="false" ht="15" hidden="false" customHeight="false" outlineLevel="0" collapsed="false">
      <c r="F839" s="7"/>
      <c r="H839" s="9"/>
      <c r="J839" s="8"/>
      <c r="K839" s="8"/>
      <c r="M839" s="9"/>
      <c r="P839" s="8"/>
      <c r="Q839" s="8"/>
      <c r="U839" s="0" t="str">
        <f aca="false">IF(A839="","",IF(AND(COUNTIF(Students!$A$2:$A$500,B839)=1,COUNTIF($A$2:$A$1000,A839)=1,ISNUMBER(H839),ISNUMBER(FIND("@",I839))),"OK","CHECK"))</f>
        <v/>
      </c>
    </row>
    <row r="840" customFormat="false" ht="15" hidden="false" customHeight="false" outlineLevel="0" collapsed="false">
      <c r="F840" s="7"/>
      <c r="H840" s="9"/>
      <c r="J840" s="8"/>
      <c r="K840" s="8"/>
      <c r="M840" s="9"/>
      <c r="P840" s="8"/>
      <c r="Q840" s="8"/>
      <c r="U840" s="0" t="str">
        <f aca="false">IF(A840="","",IF(AND(COUNTIF(Students!$A$2:$A$500,B840)=1,COUNTIF($A$2:$A$1000,A840)=1,ISNUMBER(H840),ISNUMBER(FIND("@",I840))),"OK","CHECK"))</f>
        <v/>
      </c>
    </row>
    <row r="841" customFormat="false" ht="15" hidden="false" customHeight="false" outlineLevel="0" collapsed="false">
      <c r="F841" s="7"/>
      <c r="H841" s="9"/>
      <c r="J841" s="8"/>
      <c r="K841" s="8"/>
      <c r="M841" s="9"/>
      <c r="P841" s="8"/>
      <c r="Q841" s="8"/>
      <c r="U841" s="0" t="str">
        <f aca="false">IF(A841="","",IF(AND(COUNTIF(Students!$A$2:$A$500,B841)=1,COUNTIF($A$2:$A$1000,A841)=1,ISNUMBER(H841),ISNUMBER(FIND("@",I841))),"OK","CHECK"))</f>
        <v/>
      </c>
    </row>
    <row r="842" customFormat="false" ht="15" hidden="false" customHeight="false" outlineLevel="0" collapsed="false">
      <c r="F842" s="7"/>
      <c r="H842" s="9"/>
      <c r="J842" s="8"/>
      <c r="K842" s="8"/>
      <c r="M842" s="9"/>
      <c r="P842" s="8"/>
      <c r="Q842" s="8"/>
      <c r="U842" s="0" t="str">
        <f aca="false">IF(A842="","",IF(AND(COUNTIF(Students!$A$2:$A$500,B842)=1,COUNTIF($A$2:$A$1000,A842)=1,ISNUMBER(H842),ISNUMBER(FIND("@",I842))),"OK","CHECK"))</f>
        <v/>
      </c>
    </row>
    <row r="843" customFormat="false" ht="15" hidden="false" customHeight="false" outlineLevel="0" collapsed="false">
      <c r="F843" s="7"/>
      <c r="H843" s="9"/>
      <c r="J843" s="8"/>
      <c r="K843" s="8"/>
      <c r="M843" s="9"/>
      <c r="P843" s="8"/>
      <c r="Q843" s="8"/>
      <c r="U843" s="0" t="str">
        <f aca="false">IF(A843="","",IF(AND(COUNTIF(Students!$A$2:$A$500,B843)=1,COUNTIF($A$2:$A$1000,A843)=1,ISNUMBER(H843),ISNUMBER(FIND("@",I843))),"OK","CHECK"))</f>
        <v/>
      </c>
    </row>
    <row r="844" customFormat="false" ht="15" hidden="false" customHeight="false" outlineLevel="0" collapsed="false">
      <c r="F844" s="7"/>
      <c r="H844" s="9"/>
      <c r="J844" s="8"/>
      <c r="K844" s="8"/>
      <c r="M844" s="9"/>
      <c r="P844" s="8"/>
      <c r="Q844" s="8"/>
      <c r="U844" s="0" t="str">
        <f aca="false">IF(A844="","",IF(AND(COUNTIF(Students!$A$2:$A$500,B844)=1,COUNTIF($A$2:$A$1000,A844)=1,ISNUMBER(H844),ISNUMBER(FIND("@",I844))),"OK","CHECK"))</f>
        <v/>
      </c>
    </row>
    <row r="845" customFormat="false" ht="15" hidden="false" customHeight="false" outlineLevel="0" collapsed="false">
      <c r="F845" s="7"/>
      <c r="H845" s="9"/>
      <c r="J845" s="8"/>
      <c r="K845" s="8"/>
      <c r="M845" s="9"/>
      <c r="P845" s="8"/>
      <c r="Q845" s="8"/>
      <c r="U845" s="0" t="str">
        <f aca="false">IF(A845="","",IF(AND(COUNTIF(Students!$A$2:$A$500,B845)=1,COUNTIF($A$2:$A$1000,A845)=1,ISNUMBER(H845),ISNUMBER(FIND("@",I845))),"OK","CHECK"))</f>
        <v/>
      </c>
    </row>
    <row r="846" customFormat="false" ht="15" hidden="false" customHeight="false" outlineLevel="0" collapsed="false">
      <c r="F846" s="7"/>
      <c r="H846" s="9"/>
      <c r="J846" s="8"/>
      <c r="K846" s="8"/>
      <c r="M846" s="9"/>
      <c r="P846" s="8"/>
      <c r="Q846" s="8"/>
      <c r="U846" s="0" t="str">
        <f aca="false">IF(A846="","",IF(AND(COUNTIF(Students!$A$2:$A$500,B846)=1,COUNTIF($A$2:$A$1000,A846)=1,ISNUMBER(H846),ISNUMBER(FIND("@",I846))),"OK","CHECK"))</f>
        <v/>
      </c>
    </row>
    <row r="847" customFormat="false" ht="15" hidden="false" customHeight="false" outlineLevel="0" collapsed="false">
      <c r="F847" s="7"/>
      <c r="H847" s="9"/>
      <c r="J847" s="8"/>
      <c r="K847" s="8"/>
      <c r="M847" s="9"/>
      <c r="P847" s="8"/>
      <c r="Q847" s="8"/>
      <c r="U847" s="0" t="str">
        <f aca="false">IF(A847="","",IF(AND(COUNTIF(Students!$A$2:$A$500,B847)=1,COUNTIF($A$2:$A$1000,A847)=1,ISNUMBER(H847),ISNUMBER(FIND("@",I847))),"OK","CHECK"))</f>
        <v/>
      </c>
    </row>
    <row r="848" customFormat="false" ht="15" hidden="false" customHeight="false" outlineLevel="0" collapsed="false">
      <c r="F848" s="7"/>
      <c r="H848" s="9"/>
      <c r="J848" s="8"/>
      <c r="K848" s="8"/>
      <c r="M848" s="9"/>
      <c r="P848" s="8"/>
      <c r="Q848" s="8"/>
      <c r="U848" s="0" t="str">
        <f aca="false">IF(A848="","",IF(AND(COUNTIF(Students!$A$2:$A$500,B848)=1,COUNTIF($A$2:$A$1000,A848)=1,ISNUMBER(H848),ISNUMBER(FIND("@",I848))),"OK","CHECK"))</f>
        <v/>
      </c>
    </row>
    <row r="849" customFormat="false" ht="15" hidden="false" customHeight="false" outlineLevel="0" collapsed="false">
      <c r="F849" s="7"/>
      <c r="H849" s="9"/>
      <c r="J849" s="8"/>
      <c r="K849" s="8"/>
      <c r="M849" s="9"/>
      <c r="P849" s="8"/>
      <c r="Q849" s="8"/>
      <c r="U849" s="0" t="str">
        <f aca="false">IF(A849="","",IF(AND(COUNTIF(Students!$A$2:$A$500,B849)=1,COUNTIF($A$2:$A$1000,A849)=1,ISNUMBER(H849),ISNUMBER(FIND("@",I849))),"OK","CHECK"))</f>
        <v/>
      </c>
    </row>
    <row r="850" customFormat="false" ht="15" hidden="false" customHeight="false" outlineLevel="0" collapsed="false">
      <c r="F850" s="7"/>
      <c r="H850" s="9"/>
      <c r="J850" s="8"/>
      <c r="K850" s="8"/>
      <c r="M850" s="9"/>
      <c r="P850" s="8"/>
      <c r="Q850" s="8"/>
      <c r="U850" s="0" t="str">
        <f aca="false">IF(A850="","",IF(AND(COUNTIF(Students!$A$2:$A$500,B850)=1,COUNTIF($A$2:$A$1000,A850)=1,ISNUMBER(H850),ISNUMBER(FIND("@",I850))),"OK","CHECK"))</f>
        <v/>
      </c>
    </row>
    <row r="851" customFormat="false" ht="15" hidden="false" customHeight="false" outlineLevel="0" collapsed="false">
      <c r="F851" s="7"/>
      <c r="H851" s="9"/>
      <c r="J851" s="8"/>
      <c r="K851" s="8"/>
      <c r="M851" s="9"/>
      <c r="P851" s="8"/>
      <c r="Q851" s="8"/>
      <c r="U851" s="0" t="str">
        <f aca="false">IF(A851="","",IF(AND(COUNTIF(Students!$A$2:$A$500,B851)=1,COUNTIF($A$2:$A$1000,A851)=1,ISNUMBER(H851),ISNUMBER(FIND("@",I851))),"OK","CHECK"))</f>
        <v/>
      </c>
    </row>
    <row r="852" customFormat="false" ht="15" hidden="false" customHeight="false" outlineLevel="0" collapsed="false">
      <c r="F852" s="7"/>
      <c r="H852" s="9"/>
      <c r="J852" s="8"/>
      <c r="K852" s="8"/>
      <c r="M852" s="9"/>
      <c r="P852" s="8"/>
      <c r="Q852" s="8"/>
      <c r="U852" s="0" t="str">
        <f aca="false">IF(A852="","",IF(AND(COUNTIF(Students!$A$2:$A$500,B852)=1,COUNTIF($A$2:$A$1000,A852)=1,ISNUMBER(H852),ISNUMBER(FIND("@",I852))),"OK","CHECK"))</f>
        <v/>
      </c>
    </row>
    <row r="853" customFormat="false" ht="15" hidden="false" customHeight="false" outlineLevel="0" collapsed="false">
      <c r="F853" s="7"/>
      <c r="H853" s="9"/>
      <c r="J853" s="8"/>
      <c r="K853" s="8"/>
      <c r="M853" s="9"/>
      <c r="P853" s="8"/>
      <c r="Q853" s="8"/>
      <c r="U853" s="0" t="str">
        <f aca="false">IF(A853="","",IF(AND(COUNTIF(Students!$A$2:$A$500,B853)=1,COUNTIF($A$2:$A$1000,A853)=1,ISNUMBER(H853),ISNUMBER(FIND("@",I853))),"OK","CHECK"))</f>
        <v/>
      </c>
    </row>
    <row r="854" customFormat="false" ht="15" hidden="false" customHeight="false" outlineLevel="0" collapsed="false">
      <c r="F854" s="7"/>
      <c r="H854" s="9"/>
      <c r="J854" s="8"/>
      <c r="K854" s="8"/>
      <c r="M854" s="9"/>
      <c r="P854" s="8"/>
      <c r="Q854" s="8"/>
      <c r="U854" s="0" t="str">
        <f aca="false">IF(A854="","",IF(AND(COUNTIF(Students!$A$2:$A$500,B854)=1,COUNTIF($A$2:$A$1000,A854)=1,ISNUMBER(H854),ISNUMBER(FIND("@",I854))),"OK","CHECK"))</f>
        <v/>
      </c>
    </row>
    <row r="855" customFormat="false" ht="15" hidden="false" customHeight="false" outlineLevel="0" collapsed="false">
      <c r="F855" s="7"/>
      <c r="H855" s="9"/>
      <c r="J855" s="8"/>
      <c r="K855" s="8"/>
      <c r="M855" s="9"/>
      <c r="P855" s="8"/>
      <c r="Q855" s="8"/>
      <c r="U855" s="0" t="str">
        <f aca="false">IF(A855="","",IF(AND(COUNTIF(Students!$A$2:$A$500,B855)=1,COUNTIF($A$2:$A$1000,A855)=1,ISNUMBER(H855),ISNUMBER(FIND("@",I855))),"OK","CHECK"))</f>
        <v/>
      </c>
    </row>
    <row r="856" customFormat="false" ht="15" hidden="false" customHeight="false" outlineLevel="0" collapsed="false">
      <c r="F856" s="7"/>
      <c r="H856" s="9"/>
      <c r="J856" s="8"/>
      <c r="K856" s="8"/>
      <c r="M856" s="9"/>
      <c r="P856" s="8"/>
      <c r="Q856" s="8"/>
      <c r="U856" s="0" t="str">
        <f aca="false">IF(A856="","",IF(AND(COUNTIF(Students!$A$2:$A$500,B856)=1,COUNTIF($A$2:$A$1000,A856)=1,ISNUMBER(H856),ISNUMBER(FIND("@",I856))),"OK","CHECK"))</f>
        <v/>
      </c>
    </row>
    <row r="857" customFormat="false" ht="15" hidden="false" customHeight="false" outlineLevel="0" collapsed="false">
      <c r="F857" s="7"/>
      <c r="H857" s="9"/>
      <c r="J857" s="8"/>
      <c r="K857" s="8"/>
      <c r="M857" s="9"/>
      <c r="P857" s="8"/>
      <c r="Q857" s="8"/>
      <c r="U857" s="0" t="str">
        <f aca="false">IF(A857="","",IF(AND(COUNTIF(Students!$A$2:$A$500,B857)=1,COUNTIF($A$2:$A$1000,A857)=1,ISNUMBER(H857),ISNUMBER(FIND("@",I857))),"OK","CHECK"))</f>
        <v/>
      </c>
    </row>
    <row r="858" customFormat="false" ht="15" hidden="false" customHeight="false" outlineLevel="0" collapsed="false">
      <c r="F858" s="7"/>
      <c r="H858" s="9"/>
      <c r="J858" s="8"/>
      <c r="K858" s="8"/>
      <c r="M858" s="9"/>
      <c r="P858" s="8"/>
      <c r="Q858" s="8"/>
      <c r="U858" s="0" t="str">
        <f aca="false">IF(A858="","",IF(AND(COUNTIF(Students!$A$2:$A$500,B858)=1,COUNTIF($A$2:$A$1000,A858)=1,ISNUMBER(H858),ISNUMBER(FIND("@",I858))),"OK","CHECK"))</f>
        <v/>
      </c>
    </row>
    <row r="859" customFormat="false" ht="15" hidden="false" customHeight="false" outlineLevel="0" collapsed="false">
      <c r="F859" s="7"/>
      <c r="H859" s="9"/>
      <c r="J859" s="8"/>
      <c r="K859" s="8"/>
      <c r="M859" s="9"/>
      <c r="P859" s="8"/>
      <c r="Q859" s="8"/>
      <c r="U859" s="0" t="str">
        <f aca="false">IF(A859="","",IF(AND(COUNTIF(Students!$A$2:$A$500,B859)=1,COUNTIF($A$2:$A$1000,A859)=1,ISNUMBER(H859),ISNUMBER(FIND("@",I859))),"OK","CHECK"))</f>
        <v/>
      </c>
    </row>
    <row r="860" customFormat="false" ht="15" hidden="false" customHeight="false" outlineLevel="0" collapsed="false">
      <c r="F860" s="7"/>
      <c r="H860" s="9"/>
      <c r="J860" s="8"/>
      <c r="K860" s="8"/>
      <c r="M860" s="9"/>
      <c r="P860" s="8"/>
      <c r="Q860" s="8"/>
      <c r="U860" s="0" t="str">
        <f aca="false">IF(A860="","",IF(AND(COUNTIF(Students!$A$2:$A$500,B860)=1,COUNTIF($A$2:$A$1000,A860)=1,ISNUMBER(H860),ISNUMBER(FIND("@",I860))),"OK","CHECK"))</f>
        <v/>
      </c>
    </row>
    <row r="861" customFormat="false" ht="15" hidden="false" customHeight="false" outlineLevel="0" collapsed="false">
      <c r="F861" s="7"/>
      <c r="H861" s="9"/>
      <c r="J861" s="8"/>
      <c r="K861" s="8"/>
      <c r="M861" s="9"/>
      <c r="P861" s="8"/>
      <c r="Q861" s="8"/>
      <c r="U861" s="0" t="str">
        <f aca="false">IF(A861="","",IF(AND(COUNTIF(Students!$A$2:$A$500,B861)=1,COUNTIF($A$2:$A$1000,A861)=1,ISNUMBER(H861),ISNUMBER(FIND("@",I861))),"OK","CHECK"))</f>
        <v/>
      </c>
    </row>
    <row r="862" customFormat="false" ht="15" hidden="false" customHeight="false" outlineLevel="0" collapsed="false">
      <c r="F862" s="7"/>
      <c r="H862" s="9"/>
      <c r="J862" s="8"/>
      <c r="K862" s="8"/>
      <c r="M862" s="9"/>
      <c r="P862" s="8"/>
      <c r="Q862" s="8"/>
      <c r="U862" s="0" t="str">
        <f aca="false">IF(A862="","",IF(AND(COUNTIF(Students!$A$2:$A$500,B862)=1,COUNTIF($A$2:$A$1000,A862)=1,ISNUMBER(H862),ISNUMBER(FIND("@",I862))),"OK","CHECK"))</f>
        <v/>
      </c>
    </row>
    <row r="863" customFormat="false" ht="15" hidden="false" customHeight="false" outlineLevel="0" collapsed="false">
      <c r="F863" s="7"/>
      <c r="H863" s="9"/>
      <c r="J863" s="8"/>
      <c r="K863" s="8"/>
      <c r="M863" s="9"/>
      <c r="P863" s="8"/>
      <c r="Q863" s="8"/>
      <c r="U863" s="0" t="str">
        <f aca="false">IF(A863="","",IF(AND(COUNTIF(Students!$A$2:$A$500,B863)=1,COUNTIF($A$2:$A$1000,A863)=1,ISNUMBER(H863),ISNUMBER(FIND("@",I863))),"OK","CHECK"))</f>
        <v/>
      </c>
    </row>
    <row r="864" customFormat="false" ht="15" hidden="false" customHeight="false" outlineLevel="0" collapsed="false">
      <c r="F864" s="7"/>
      <c r="H864" s="9"/>
      <c r="J864" s="8"/>
      <c r="K864" s="8"/>
      <c r="M864" s="9"/>
      <c r="P864" s="8"/>
      <c r="Q864" s="8"/>
      <c r="U864" s="0" t="str">
        <f aca="false">IF(A864="","",IF(AND(COUNTIF(Students!$A$2:$A$500,B864)=1,COUNTIF($A$2:$A$1000,A864)=1,ISNUMBER(H864),ISNUMBER(FIND("@",I864))),"OK","CHECK"))</f>
        <v/>
      </c>
    </row>
    <row r="865" customFormat="false" ht="15" hidden="false" customHeight="false" outlineLevel="0" collapsed="false">
      <c r="F865" s="7"/>
      <c r="H865" s="9"/>
      <c r="J865" s="8"/>
      <c r="K865" s="8"/>
      <c r="M865" s="9"/>
      <c r="P865" s="8"/>
      <c r="Q865" s="8"/>
      <c r="U865" s="0" t="str">
        <f aca="false">IF(A865="","",IF(AND(COUNTIF(Students!$A$2:$A$500,B865)=1,COUNTIF($A$2:$A$1000,A865)=1,ISNUMBER(H865),ISNUMBER(FIND("@",I865))),"OK","CHECK"))</f>
        <v/>
      </c>
    </row>
    <row r="866" customFormat="false" ht="15" hidden="false" customHeight="false" outlineLevel="0" collapsed="false">
      <c r="F866" s="7"/>
      <c r="H866" s="9"/>
      <c r="J866" s="8"/>
      <c r="K866" s="8"/>
      <c r="M866" s="9"/>
      <c r="P866" s="8"/>
      <c r="Q866" s="8"/>
      <c r="U866" s="0" t="str">
        <f aca="false">IF(A866="","",IF(AND(COUNTIF(Students!$A$2:$A$500,B866)=1,COUNTIF($A$2:$A$1000,A866)=1,ISNUMBER(H866),ISNUMBER(FIND("@",I866))),"OK","CHECK"))</f>
        <v/>
      </c>
    </row>
    <row r="867" customFormat="false" ht="15" hidden="false" customHeight="false" outlineLevel="0" collapsed="false">
      <c r="F867" s="7"/>
      <c r="H867" s="9"/>
      <c r="J867" s="8"/>
      <c r="K867" s="8"/>
      <c r="M867" s="9"/>
      <c r="P867" s="8"/>
      <c r="Q867" s="8"/>
      <c r="U867" s="0" t="str">
        <f aca="false">IF(A867="","",IF(AND(COUNTIF(Students!$A$2:$A$500,B867)=1,COUNTIF($A$2:$A$1000,A867)=1,ISNUMBER(H867),ISNUMBER(FIND("@",I867))),"OK","CHECK"))</f>
        <v/>
      </c>
    </row>
    <row r="868" customFormat="false" ht="15" hidden="false" customHeight="false" outlineLevel="0" collapsed="false">
      <c r="F868" s="7"/>
      <c r="H868" s="9"/>
      <c r="J868" s="8"/>
      <c r="K868" s="8"/>
      <c r="M868" s="9"/>
      <c r="P868" s="8"/>
      <c r="Q868" s="8"/>
      <c r="U868" s="0" t="str">
        <f aca="false">IF(A868="","",IF(AND(COUNTIF(Students!$A$2:$A$500,B868)=1,COUNTIF($A$2:$A$1000,A868)=1,ISNUMBER(H868),ISNUMBER(FIND("@",I868))),"OK","CHECK"))</f>
        <v/>
      </c>
    </row>
    <row r="869" customFormat="false" ht="15" hidden="false" customHeight="false" outlineLevel="0" collapsed="false">
      <c r="F869" s="7"/>
      <c r="H869" s="9"/>
      <c r="J869" s="8"/>
      <c r="K869" s="8"/>
      <c r="M869" s="9"/>
      <c r="P869" s="8"/>
      <c r="Q869" s="8"/>
      <c r="U869" s="0" t="str">
        <f aca="false">IF(A869="","",IF(AND(COUNTIF(Students!$A$2:$A$500,B869)=1,COUNTIF($A$2:$A$1000,A869)=1,ISNUMBER(H869),ISNUMBER(FIND("@",I869))),"OK","CHECK"))</f>
        <v/>
      </c>
    </row>
    <row r="870" customFormat="false" ht="15" hidden="false" customHeight="false" outlineLevel="0" collapsed="false">
      <c r="F870" s="7"/>
      <c r="H870" s="9"/>
      <c r="J870" s="8"/>
      <c r="K870" s="8"/>
      <c r="M870" s="9"/>
      <c r="P870" s="8"/>
      <c r="Q870" s="8"/>
      <c r="U870" s="0" t="str">
        <f aca="false">IF(A870="","",IF(AND(COUNTIF(Students!$A$2:$A$500,B870)=1,COUNTIF($A$2:$A$1000,A870)=1,ISNUMBER(H870),ISNUMBER(FIND("@",I870))),"OK","CHECK"))</f>
        <v/>
      </c>
    </row>
    <row r="871" customFormat="false" ht="15" hidden="false" customHeight="false" outlineLevel="0" collapsed="false">
      <c r="F871" s="7"/>
      <c r="H871" s="9"/>
      <c r="J871" s="8"/>
      <c r="K871" s="8"/>
      <c r="M871" s="9"/>
      <c r="P871" s="8"/>
      <c r="Q871" s="8"/>
      <c r="U871" s="0" t="str">
        <f aca="false">IF(A871="","",IF(AND(COUNTIF(Students!$A$2:$A$500,B871)=1,COUNTIF($A$2:$A$1000,A871)=1,ISNUMBER(H871),ISNUMBER(FIND("@",I871))),"OK","CHECK"))</f>
        <v/>
      </c>
    </row>
    <row r="872" customFormat="false" ht="15" hidden="false" customHeight="false" outlineLevel="0" collapsed="false">
      <c r="F872" s="7"/>
      <c r="H872" s="9"/>
      <c r="J872" s="8"/>
      <c r="K872" s="8"/>
      <c r="M872" s="9"/>
      <c r="P872" s="8"/>
      <c r="Q872" s="8"/>
      <c r="U872" s="0" t="str">
        <f aca="false">IF(A872="","",IF(AND(COUNTIF(Students!$A$2:$A$500,B872)=1,COUNTIF($A$2:$A$1000,A872)=1,ISNUMBER(H872),ISNUMBER(FIND("@",I872))),"OK","CHECK"))</f>
        <v/>
      </c>
    </row>
    <row r="873" customFormat="false" ht="15" hidden="false" customHeight="false" outlineLevel="0" collapsed="false">
      <c r="F873" s="7"/>
      <c r="H873" s="9"/>
      <c r="J873" s="8"/>
      <c r="K873" s="8"/>
      <c r="M873" s="9"/>
      <c r="P873" s="8"/>
      <c r="Q873" s="8"/>
      <c r="U873" s="0" t="str">
        <f aca="false">IF(A873="","",IF(AND(COUNTIF(Students!$A$2:$A$500,B873)=1,COUNTIF($A$2:$A$1000,A873)=1,ISNUMBER(H873),ISNUMBER(FIND("@",I873))),"OK","CHECK"))</f>
        <v/>
      </c>
    </row>
    <row r="874" customFormat="false" ht="15" hidden="false" customHeight="false" outlineLevel="0" collapsed="false">
      <c r="F874" s="7"/>
      <c r="H874" s="9"/>
      <c r="J874" s="8"/>
      <c r="K874" s="8"/>
      <c r="M874" s="9"/>
      <c r="P874" s="8"/>
      <c r="Q874" s="8"/>
      <c r="U874" s="0" t="str">
        <f aca="false">IF(A874="","",IF(AND(COUNTIF(Students!$A$2:$A$500,B874)=1,COUNTIF($A$2:$A$1000,A874)=1,ISNUMBER(H874),ISNUMBER(FIND("@",I874))),"OK","CHECK"))</f>
        <v/>
      </c>
    </row>
    <row r="875" customFormat="false" ht="15" hidden="false" customHeight="false" outlineLevel="0" collapsed="false">
      <c r="F875" s="7"/>
      <c r="H875" s="9"/>
      <c r="J875" s="8"/>
      <c r="K875" s="8"/>
      <c r="M875" s="9"/>
      <c r="P875" s="8"/>
      <c r="Q875" s="8"/>
      <c r="U875" s="0" t="str">
        <f aca="false">IF(A875="","",IF(AND(COUNTIF(Students!$A$2:$A$500,B875)=1,COUNTIF($A$2:$A$1000,A875)=1,ISNUMBER(H875),ISNUMBER(FIND("@",I875))),"OK","CHECK"))</f>
        <v/>
      </c>
    </row>
    <row r="876" customFormat="false" ht="15" hidden="false" customHeight="false" outlineLevel="0" collapsed="false">
      <c r="F876" s="7"/>
      <c r="H876" s="9"/>
      <c r="J876" s="8"/>
      <c r="K876" s="8"/>
      <c r="M876" s="9"/>
      <c r="P876" s="8"/>
      <c r="Q876" s="8"/>
      <c r="U876" s="0" t="str">
        <f aca="false">IF(A876="","",IF(AND(COUNTIF(Students!$A$2:$A$500,B876)=1,COUNTIF($A$2:$A$1000,A876)=1,ISNUMBER(H876),ISNUMBER(FIND("@",I876))),"OK","CHECK"))</f>
        <v/>
      </c>
    </row>
    <row r="877" customFormat="false" ht="15" hidden="false" customHeight="false" outlineLevel="0" collapsed="false">
      <c r="F877" s="7"/>
      <c r="H877" s="9"/>
      <c r="J877" s="8"/>
      <c r="K877" s="8"/>
      <c r="M877" s="9"/>
      <c r="P877" s="8"/>
      <c r="Q877" s="8"/>
      <c r="U877" s="0" t="str">
        <f aca="false">IF(A877="","",IF(AND(COUNTIF(Students!$A$2:$A$500,B877)=1,COUNTIF($A$2:$A$1000,A877)=1,ISNUMBER(H877),ISNUMBER(FIND("@",I877))),"OK","CHECK"))</f>
        <v/>
      </c>
    </row>
    <row r="878" customFormat="false" ht="15" hidden="false" customHeight="false" outlineLevel="0" collapsed="false">
      <c r="F878" s="7"/>
      <c r="H878" s="9"/>
      <c r="J878" s="8"/>
      <c r="K878" s="8"/>
      <c r="M878" s="9"/>
      <c r="P878" s="8"/>
      <c r="Q878" s="8"/>
      <c r="U878" s="0" t="str">
        <f aca="false">IF(A878="","",IF(AND(COUNTIF(Students!$A$2:$A$500,B878)=1,COUNTIF($A$2:$A$1000,A878)=1,ISNUMBER(H878),ISNUMBER(FIND("@",I878))),"OK","CHECK"))</f>
        <v/>
      </c>
    </row>
    <row r="879" customFormat="false" ht="15" hidden="false" customHeight="false" outlineLevel="0" collapsed="false">
      <c r="F879" s="7"/>
      <c r="H879" s="9"/>
      <c r="J879" s="8"/>
      <c r="K879" s="8"/>
      <c r="M879" s="9"/>
      <c r="P879" s="8"/>
      <c r="Q879" s="8"/>
      <c r="U879" s="0" t="str">
        <f aca="false">IF(A879="","",IF(AND(COUNTIF(Students!$A$2:$A$500,B879)=1,COUNTIF($A$2:$A$1000,A879)=1,ISNUMBER(H879),ISNUMBER(FIND("@",I879))),"OK","CHECK"))</f>
        <v/>
      </c>
    </row>
    <row r="880" customFormat="false" ht="15" hidden="false" customHeight="false" outlineLevel="0" collapsed="false">
      <c r="F880" s="7"/>
      <c r="H880" s="9"/>
      <c r="J880" s="8"/>
      <c r="K880" s="8"/>
      <c r="M880" s="9"/>
      <c r="P880" s="8"/>
      <c r="Q880" s="8"/>
      <c r="U880" s="0" t="str">
        <f aca="false">IF(A880="","",IF(AND(COUNTIF(Students!$A$2:$A$500,B880)=1,COUNTIF($A$2:$A$1000,A880)=1,ISNUMBER(H880),ISNUMBER(FIND("@",I880))),"OK","CHECK"))</f>
        <v/>
      </c>
    </row>
    <row r="881" customFormat="false" ht="15" hidden="false" customHeight="false" outlineLevel="0" collapsed="false">
      <c r="F881" s="7"/>
      <c r="H881" s="9"/>
      <c r="J881" s="8"/>
      <c r="K881" s="8"/>
      <c r="M881" s="9"/>
      <c r="P881" s="8"/>
      <c r="Q881" s="8"/>
      <c r="U881" s="0" t="str">
        <f aca="false">IF(A881="","",IF(AND(COUNTIF(Students!$A$2:$A$500,B881)=1,COUNTIF($A$2:$A$1000,A881)=1,ISNUMBER(H881),ISNUMBER(FIND("@",I881))),"OK","CHECK"))</f>
        <v/>
      </c>
    </row>
    <row r="882" customFormat="false" ht="15" hidden="false" customHeight="false" outlineLevel="0" collapsed="false">
      <c r="F882" s="7"/>
      <c r="H882" s="9"/>
      <c r="J882" s="8"/>
      <c r="K882" s="8"/>
      <c r="M882" s="9"/>
      <c r="P882" s="8"/>
      <c r="Q882" s="8"/>
      <c r="U882" s="0" t="str">
        <f aca="false">IF(A882="","",IF(AND(COUNTIF(Students!$A$2:$A$500,B882)=1,COUNTIF($A$2:$A$1000,A882)=1,ISNUMBER(H882),ISNUMBER(FIND("@",I882))),"OK","CHECK"))</f>
        <v/>
      </c>
    </row>
    <row r="883" customFormat="false" ht="15" hidden="false" customHeight="false" outlineLevel="0" collapsed="false">
      <c r="F883" s="7"/>
      <c r="H883" s="9"/>
      <c r="J883" s="8"/>
      <c r="K883" s="8"/>
      <c r="M883" s="9"/>
      <c r="P883" s="8"/>
      <c r="Q883" s="8"/>
      <c r="U883" s="0" t="str">
        <f aca="false">IF(A883="","",IF(AND(COUNTIF(Students!$A$2:$A$500,B883)=1,COUNTIF($A$2:$A$1000,A883)=1,ISNUMBER(H883),ISNUMBER(FIND("@",I883))),"OK","CHECK"))</f>
        <v/>
      </c>
    </row>
    <row r="884" customFormat="false" ht="15" hidden="false" customHeight="false" outlineLevel="0" collapsed="false">
      <c r="F884" s="7"/>
      <c r="H884" s="9"/>
      <c r="J884" s="8"/>
      <c r="K884" s="8"/>
      <c r="M884" s="9"/>
      <c r="P884" s="8"/>
      <c r="Q884" s="8"/>
      <c r="U884" s="0" t="str">
        <f aca="false">IF(A884="","",IF(AND(COUNTIF(Students!$A$2:$A$500,B884)=1,COUNTIF($A$2:$A$1000,A884)=1,ISNUMBER(H884),ISNUMBER(FIND("@",I884))),"OK","CHECK"))</f>
        <v/>
      </c>
    </row>
    <row r="885" customFormat="false" ht="15" hidden="false" customHeight="false" outlineLevel="0" collapsed="false">
      <c r="F885" s="7"/>
      <c r="H885" s="9"/>
      <c r="J885" s="8"/>
      <c r="K885" s="8"/>
      <c r="M885" s="9"/>
      <c r="P885" s="8"/>
      <c r="Q885" s="8"/>
      <c r="U885" s="0" t="str">
        <f aca="false">IF(A885="","",IF(AND(COUNTIF(Students!$A$2:$A$500,B885)=1,COUNTIF($A$2:$A$1000,A885)=1,ISNUMBER(H885),ISNUMBER(FIND("@",I885))),"OK","CHECK"))</f>
        <v/>
      </c>
    </row>
    <row r="886" customFormat="false" ht="15" hidden="false" customHeight="false" outlineLevel="0" collapsed="false">
      <c r="F886" s="7"/>
      <c r="H886" s="9"/>
      <c r="J886" s="8"/>
      <c r="K886" s="8"/>
      <c r="M886" s="9"/>
      <c r="P886" s="8"/>
      <c r="Q886" s="8"/>
      <c r="U886" s="0" t="str">
        <f aca="false">IF(A886="","",IF(AND(COUNTIF(Students!$A$2:$A$500,B886)=1,COUNTIF($A$2:$A$1000,A886)=1,ISNUMBER(H886),ISNUMBER(FIND("@",I886))),"OK","CHECK"))</f>
        <v/>
      </c>
    </row>
    <row r="887" customFormat="false" ht="15" hidden="false" customHeight="false" outlineLevel="0" collapsed="false">
      <c r="F887" s="7"/>
      <c r="H887" s="9"/>
      <c r="J887" s="8"/>
      <c r="K887" s="8"/>
      <c r="M887" s="9"/>
      <c r="P887" s="8"/>
      <c r="Q887" s="8"/>
      <c r="U887" s="0" t="str">
        <f aca="false">IF(A887="","",IF(AND(COUNTIF(Students!$A$2:$A$500,B887)=1,COUNTIF($A$2:$A$1000,A887)=1,ISNUMBER(H887),ISNUMBER(FIND("@",I887))),"OK","CHECK"))</f>
        <v/>
      </c>
    </row>
    <row r="888" customFormat="false" ht="15" hidden="false" customHeight="false" outlineLevel="0" collapsed="false">
      <c r="F888" s="7"/>
      <c r="H888" s="9"/>
      <c r="J888" s="8"/>
      <c r="K888" s="8"/>
      <c r="M888" s="9"/>
      <c r="P888" s="8"/>
      <c r="Q888" s="8"/>
      <c r="U888" s="0" t="str">
        <f aca="false">IF(A888="","",IF(AND(COUNTIF(Students!$A$2:$A$500,B888)=1,COUNTIF($A$2:$A$1000,A888)=1,ISNUMBER(H888),ISNUMBER(FIND("@",I888))),"OK","CHECK"))</f>
        <v/>
      </c>
    </row>
    <row r="889" customFormat="false" ht="15" hidden="false" customHeight="false" outlineLevel="0" collapsed="false">
      <c r="F889" s="7"/>
      <c r="H889" s="9"/>
      <c r="J889" s="8"/>
      <c r="K889" s="8"/>
      <c r="M889" s="9"/>
      <c r="P889" s="8"/>
      <c r="Q889" s="8"/>
      <c r="U889" s="0" t="str">
        <f aca="false">IF(A889="","",IF(AND(COUNTIF(Students!$A$2:$A$500,B889)=1,COUNTIF($A$2:$A$1000,A889)=1,ISNUMBER(H889),ISNUMBER(FIND("@",I889))),"OK","CHECK"))</f>
        <v/>
      </c>
    </row>
    <row r="890" customFormat="false" ht="15" hidden="false" customHeight="false" outlineLevel="0" collapsed="false">
      <c r="F890" s="7"/>
      <c r="H890" s="9"/>
      <c r="J890" s="8"/>
      <c r="K890" s="8"/>
      <c r="M890" s="9"/>
      <c r="P890" s="8"/>
      <c r="Q890" s="8"/>
      <c r="U890" s="0" t="str">
        <f aca="false">IF(A890="","",IF(AND(COUNTIF(Students!$A$2:$A$500,B890)=1,COUNTIF($A$2:$A$1000,A890)=1,ISNUMBER(H890),ISNUMBER(FIND("@",I890))),"OK","CHECK"))</f>
        <v/>
      </c>
    </row>
    <row r="891" customFormat="false" ht="15" hidden="false" customHeight="false" outlineLevel="0" collapsed="false">
      <c r="F891" s="7"/>
      <c r="H891" s="9"/>
      <c r="J891" s="8"/>
      <c r="K891" s="8"/>
      <c r="M891" s="9"/>
      <c r="P891" s="8"/>
      <c r="Q891" s="8"/>
      <c r="U891" s="0" t="str">
        <f aca="false">IF(A891="","",IF(AND(COUNTIF(Students!$A$2:$A$500,B891)=1,COUNTIF($A$2:$A$1000,A891)=1,ISNUMBER(H891),ISNUMBER(FIND("@",I891))),"OK","CHECK"))</f>
        <v/>
      </c>
    </row>
    <row r="892" customFormat="false" ht="15" hidden="false" customHeight="false" outlineLevel="0" collapsed="false">
      <c r="F892" s="7"/>
      <c r="H892" s="9"/>
      <c r="J892" s="8"/>
      <c r="K892" s="8"/>
      <c r="M892" s="9"/>
      <c r="P892" s="8"/>
      <c r="Q892" s="8"/>
      <c r="U892" s="0" t="str">
        <f aca="false">IF(A892="","",IF(AND(COUNTIF(Students!$A$2:$A$500,B892)=1,COUNTIF($A$2:$A$1000,A892)=1,ISNUMBER(H892),ISNUMBER(FIND("@",I892))),"OK","CHECK"))</f>
        <v/>
      </c>
    </row>
    <row r="893" customFormat="false" ht="15" hidden="false" customHeight="false" outlineLevel="0" collapsed="false">
      <c r="F893" s="7"/>
      <c r="H893" s="9"/>
      <c r="J893" s="8"/>
      <c r="K893" s="8"/>
      <c r="M893" s="9"/>
      <c r="P893" s="8"/>
      <c r="Q893" s="8"/>
      <c r="U893" s="0" t="str">
        <f aca="false">IF(A893="","",IF(AND(COUNTIF(Students!$A$2:$A$500,B893)=1,COUNTIF($A$2:$A$1000,A893)=1,ISNUMBER(H893),ISNUMBER(FIND("@",I893))),"OK","CHECK"))</f>
        <v/>
      </c>
    </row>
    <row r="894" customFormat="false" ht="15" hidden="false" customHeight="false" outlineLevel="0" collapsed="false">
      <c r="F894" s="7"/>
      <c r="H894" s="9"/>
      <c r="J894" s="8"/>
      <c r="K894" s="8"/>
      <c r="M894" s="9"/>
      <c r="P894" s="8"/>
      <c r="Q894" s="8"/>
      <c r="U894" s="0" t="str">
        <f aca="false">IF(A894="","",IF(AND(COUNTIF(Students!$A$2:$A$500,B894)=1,COUNTIF($A$2:$A$1000,A894)=1,ISNUMBER(H894),ISNUMBER(FIND("@",I894))),"OK","CHECK"))</f>
        <v/>
      </c>
    </row>
    <row r="895" customFormat="false" ht="15" hidden="false" customHeight="false" outlineLevel="0" collapsed="false">
      <c r="F895" s="7"/>
      <c r="H895" s="9"/>
      <c r="J895" s="8"/>
      <c r="K895" s="8"/>
      <c r="M895" s="9"/>
      <c r="P895" s="8"/>
      <c r="Q895" s="8"/>
      <c r="U895" s="0" t="str">
        <f aca="false">IF(A895="","",IF(AND(COUNTIF(Students!$A$2:$A$500,B895)=1,COUNTIF($A$2:$A$1000,A895)=1,ISNUMBER(H895),ISNUMBER(FIND("@",I895))),"OK","CHECK"))</f>
        <v/>
      </c>
    </row>
    <row r="896" customFormat="false" ht="15" hidden="false" customHeight="false" outlineLevel="0" collapsed="false">
      <c r="F896" s="7"/>
      <c r="H896" s="9"/>
      <c r="J896" s="8"/>
      <c r="K896" s="8"/>
      <c r="M896" s="9"/>
      <c r="P896" s="8"/>
      <c r="Q896" s="8"/>
      <c r="U896" s="0" t="str">
        <f aca="false">IF(A896="","",IF(AND(COUNTIF(Students!$A$2:$A$500,B896)=1,COUNTIF($A$2:$A$1000,A896)=1,ISNUMBER(H896),ISNUMBER(FIND("@",I896))),"OK","CHECK"))</f>
        <v/>
      </c>
    </row>
    <row r="897" customFormat="false" ht="15" hidden="false" customHeight="false" outlineLevel="0" collapsed="false">
      <c r="F897" s="7"/>
      <c r="H897" s="9"/>
      <c r="J897" s="8"/>
      <c r="K897" s="8"/>
      <c r="M897" s="9"/>
      <c r="P897" s="8"/>
      <c r="Q897" s="8"/>
      <c r="U897" s="0" t="str">
        <f aca="false">IF(A897="","",IF(AND(COUNTIF(Students!$A$2:$A$500,B897)=1,COUNTIF($A$2:$A$1000,A897)=1,ISNUMBER(H897),ISNUMBER(FIND("@",I897))),"OK","CHECK"))</f>
        <v/>
      </c>
    </row>
    <row r="898" customFormat="false" ht="15" hidden="false" customHeight="false" outlineLevel="0" collapsed="false">
      <c r="F898" s="7"/>
      <c r="H898" s="9"/>
      <c r="J898" s="8"/>
      <c r="K898" s="8"/>
      <c r="M898" s="9"/>
      <c r="P898" s="8"/>
      <c r="Q898" s="8"/>
      <c r="U898" s="0" t="str">
        <f aca="false">IF(A898="","",IF(AND(COUNTIF(Students!$A$2:$A$500,B898)=1,COUNTIF($A$2:$A$1000,A898)=1,ISNUMBER(H898),ISNUMBER(FIND("@",I898))),"OK","CHECK"))</f>
        <v/>
      </c>
    </row>
    <row r="899" customFormat="false" ht="15" hidden="false" customHeight="false" outlineLevel="0" collapsed="false">
      <c r="F899" s="7"/>
      <c r="H899" s="9"/>
      <c r="J899" s="8"/>
      <c r="K899" s="8"/>
      <c r="M899" s="9"/>
      <c r="P899" s="8"/>
      <c r="Q899" s="8"/>
      <c r="U899" s="0" t="str">
        <f aca="false">IF(A899="","",IF(AND(COUNTIF(Students!$A$2:$A$500,B899)=1,COUNTIF($A$2:$A$1000,A899)=1,ISNUMBER(H899),ISNUMBER(FIND("@",I899))),"OK","CHECK"))</f>
        <v/>
      </c>
    </row>
    <row r="900" customFormat="false" ht="15" hidden="false" customHeight="false" outlineLevel="0" collapsed="false">
      <c r="F900" s="7"/>
      <c r="H900" s="9"/>
      <c r="J900" s="8"/>
      <c r="K900" s="8"/>
      <c r="M900" s="9"/>
      <c r="P900" s="8"/>
      <c r="Q900" s="8"/>
      <c r="U900" s="0" t="str">
        <f aca="false">IF(A900="","",IF(AND(COUNTIF(Students!$A$2:$A$500,B900)=1,COUNTIF($A$2:$A$1000,A900)=1,ISNUMBER(H900),ISNUMBER(FIND("@",I900))),"OK","CHECK"))</f>
        <v/>
      </c>
    </row>
    <row r="901" customFormat="false" ht="15" hidden="false" customHeight="false" outlineLevel="0" collapsed="false">
      <c r="F901" s="7"/>
      <c r="H901" s="9"/>
      <c r="J901" s="8"/>
      <c r="K901" s="8"/>
      <c r="M901" s="9"/>
      <c r="P901" s="8"/>
      <c r="Q901" s="8"/>
      <c r="U901" s="0" t="str">
        <f aca="false">IF(A901="","",IF(AND(COUNTIF(Students!$A$2:$A$500,B901)=1,COUNTIF($A$2:$A$1000,A901)=1,ISNUMBER(H901),ISNUMBER(FIND("@",I901))),"OK","CHECK"))</f>
        <v/>
      </c>
    </row>
    <row r="902" customFormat="false" ht="15" hidden="false" customHeight="false" outlineLevel="0" collapsed="false">
      <c r="F902" s="7"/>
      <c r="H902" s="9"/>
      <c r="J902" s="8"/>
      <c r="K902" s="8"/>
      <c r="M902" s="9"/>
      <c r="P902" s="8"/>
      <c r="Q902" s="8"/>
      <c r="U902" s="0" t="str">
        <f aca="false">IF(A902="","",IF(AND(COUNTIF(Students!$A$2:$A$500,B902)=1,COUNTIF($A$2:$A$1000,A902)=1,ISNUMBER(H902),ISNUMBER(FIND("@",I902))),"OK","CHECK"))</f>
        <v/>
      </c>
    </row>
    <row r="903" customFormat="false" ht="15" hidden="false" customHeight="false" outlineLevel="0" collapsed="false">
      <c r="F903" s="7"/>
      <c r="H903" s="9"/>
      <c r="J903" s="8"/>
      <c r="K903" s="8"/>
      <c r="M903" s="9"/>
      <c r="P903" s="8"/>
      <c r="Q903" s="8"/>
      <c r="U903" s="0" t="str">
        <f aca="false">IF(A903="","",IF(AND(COUNTIF(Students!$A$2:$A$500,B903)=1,COUNTIF($A$2:$A$1000,A903)=1,ISNUMBER(H903),ISNUMBER(FIND("@",I903))),"OK","CHECK"))</f>
        <v/>
      </c>
    </row>
    <row r="904" customFormat="false" ht="15" hidden="false" customHeight="false" outlineLevel="0" collapsed="false">
      <c r="F904" s="7"/>
      <c r="H904" s="9"/>
      <c r="J904" s="8"/>
      <c r="K904" s="8"/>
      <c r="M904" s="9"/>
      <c r="P904" s="8"/>
      <c r="Q904" s="8"/>
      <c r="U904" s="0" t="str">
        <f aca="false">IF(A904="","",IF(AND(COUNTIF(Students!$A$2:$A$500,B904)=1,COUNTIF($A$2:$A$1000,A904)=1,ISNUMBER(H904),ISNUMBER(FIND("@",I904))),"OK","CHECK"))</f>
        <v/>
      </c>
    </row>
    <row r="905" customFormat="false" ht="15" hidden="false" customHeight="false" outlineLevel="0" collapsed="false">
      <c r="F905" s="7"/>
      <c r="H905" s="9"/>
      <c r="J905" s="8"/>
      <c r="K905" s="8"/>
      <c r="M905" s="9"/>
      <c r="P905" s="8"/>
      <c r="Q905" s="8"/>
      <c r="U905" s="0" t="str">
        <f aca="false">IF(A905="","",IF(AND(COUNTIF(Students!$A$2:$A$500,B905)=1,COUNTIF($A$2:$A$1000,A905)=1,ISNUMBER(H905),ISNUMBER(FIND("@",I905))),"OK","CHECK"))</f>
        <v/>
      </c>
    </row>
    <row r="906" customFormat="false" ht="15" hidden="false" customHeight="false" outlineLevel="0" collapsed="false">
      <c r="F906" s="7"/>
      <c r="H906" s="9"/>
      <c r="J906" s="8"/>
      <c r="K906" s="8"/>
      <c r="M906" s="9"/>
      <c r="P906" s="8"/>
      <c r="Q906" s="8"/>
      <c r="U906" s="0" t="str">
        <f aca="false">IF(A906="","",IF(AND(COUNTIF(Students!$A$2:$A$500,B906)=1,COUNTIF($A$2:$A$1000,A906)=1,ISNUMBER(H906),ISNUMBER(FIND("@",I906))),"OK","CHECK"))</f>
        <v/>
      </c>
    </row>
    <row r="907" customFormat="false" ht="15" hidden="false" customHeight="false" outlineLevel="0" collapsed="false">
      <c r="F907" s="7"/>
      <c r="H907" s="9"/>
      <c r="J907" s="8"/>
      <c r="K907" s="8"/>
      <c r="M907" s="9"/>
      <c r="P907" s="8"/>
      <c r="Q907" s="8"/>
      <c r="U907" s="0" t="str">
        <f aca="false">IF(A907="","",IF(AND(COUNTIF(Students!$A$2:$A$500,B907)=1,COUNTIF($A$2:$A$1000,A907)=1,ISNUMBER(H907),ISNUMBER(FIND("@",I907))),"OK","CHECK"))</f>
        <v/>
      </c>
    </row>
    <row r="908" customFormat="false" ht="15" hidden="false" customHeight="false" outlineLevel="0" collapsed="false">
      <c r="F908" s="7"/>
      <c r="H908" s="9"/>
      <c r="J908" s="8"/>
      <c r="K908" s="8"/>
      <c r="M908" s="9"/>
      <c r="P908" s="8"/>
      <c r="Q908" s="8"/>
      <c r="U908" s="0" t="str">
        <f aca="false">IF(A908="","",IF(AND(COUNTIF(Students!$A$2:$A$500,B908)=1,COUNTIF($A$2:$A$1000,A908)=1,ISNUMBER(H908),ISNUMBER(FIND("@",I908))),"OK","CHECK"))</f>
        <v/>
      </c>
    </row>
    <row r="909" customFormat="false" ht="15" hidden="false" customHeight="false" outlineLevel="0" collapsed="false">
      <c r="F909" s="7"/>
      <c r="H909" s="9"/>
      <c r="J909" s="8"/>
      <c r="K909" s="8"/>
      <c r="M909" s="9"/>
      <c r="P909" s="8"/>
      <c r="Q909" s="8"/>
      <c r="U909" s="0" t="str">
        <f aca="false">IF(A909="","",IF(AND(COUNTIF(Students!$A$2:$A$500,B909)=1,COUNTIF($A$2:$A$1000,A909)=1,ISNUMBER(H909),ISNUMBER(FIND("@",I909))),"OK","CHECK"))</f>
        <v/>
      </c>
    </row>
    <row r="910" customFormat="false" ht="15" hidden="false" customHeight="false" outlineLevel="0" collapsed="false">
      <c r="F910" s="7"/>
      <c r="H910" s="9"/>
      <c r="J910" s="8"/>
      <c r="K910" s="8"/>
      <c r="M910" s="9"/>
      <c r="P910" s="8"/>
      <c r="Q910" s="8"/>
      <c r="U910" s="0" t="str">
        <f aca="false">IF(A910="","",IF(AND(COUNTIF(Students!$A$2:$A$500,B910)=1,COUNTIF($A$2:$A$1000,A910)=1,ISNUMBER(H910),ISNUMBER(FIND("@",I910))),"OK","CHECK"))</f>
        <v/>
      </c>
    </row>
    <row r="911" customFormat="false" ht="15" hidden="false" customHeight="false" outlineLevel="0" collapsed="false">
      <c r="F911" s="7"/>
      <c r="H911" s="9"/>
      <c r="J911" s="8"/>
      <c r="K911" s="8"/>
      <c r="M911" s="9"/>
      <c r="P911" s="8"/>
      <c r="Q911" s="8"/>
      <c r="U911" s="0" t="str">
        <f aca="false">IF(A911="","",IF(AND(COUNTIF(Students!$A$2:$A$500,B911)=1,COUNTIF($A$2:$A$1000,A911)=1,ISNUMBER(H911),ISNUMBER(FIND("@",I911))),"OK","CHECK"))</f>
        <v/>
      </c>
    </row>
    <row r="912" customFormat="false" ht="15" hidden="false" customHeight="false" outlineLevel="0" collapsed="false">
      <c r="F912" s="7"/>
      <c r="H912" s="9"/>
      <c r="J912" s="8"/>
      <c r="K912" s="8"/>
      <c r="M912" s="9"/>
      <c r="P912" s="8"/>
      <c r="Q912" s="8"/>
      <c r="U912" s="0" t="str">
        <f aca="false">IF(A912="","",IF(AND(COUNTIF(Students!$A$2:$A$500,B912)=1,COUNTIF($A$2:$A$1000,A912)=1,ISNUMBER(H912),ISNUMBER(FIND("@",I912))),"OK","CHECK"))</f>
        <v/>
      </c>
    </row>
    <row r="913" customFormat="false" ht="15" hidden="false" customHeight="false" outlineLevel="0" collapsed="false">
      <c r="F913" s="7"/>
      <c r="H913" s="9"/>
      <c r="J913" s="8"/>
      <c r="K913" s="8"/>
      <c r="M913" s="9"/>
      <c r="P913" s="8"/>
      <c r="Q913" s="8"/>
      <c r="U913" s="0" t="str">
        <f aca="false">IF(A913="","",IF(AND(COUNTIF(Students!$A$2:$A$500,B913)=1,COUNTIF($A$2:$A$1000,A913)=1,ISNUMBER(H913),ISNUMBER(FIND("@",I913))),"OK","CHECK"))</f>
        <v/>
      </c>
    </row>
    <row r="914" customFormat="false" ht="15" hidden="false" customHeight="false" outlineLevel="0" collapsed="false">
      <c r="F914" s="7"/>
      <c r="H914" s="9"/>
      <c r="J914" s="8"/>
      <c r="K914" s="8"/>
      <c r="M914" s="9"/>
      <c r="P914" s="8"/>
      <c r="Q914" s="8"/>
      <c r="U914" s="0" t="str">
        <f aca="false">IF(A914="","",IF(AND(COUNTIF(Students!$A$2:$A$500,B914)=1,COUNTIF($A$2:$A$1000,A914)=1,ISNUMBER(H914),ISNUMBER(FIND("@",I914))),"OK","CHECK"))</f>
        <v/>
      </c>
    </row>
    <row r="915" customFormat="false" ht="15" hidden="false" customHeight="false" outlineLevel="0" collapsed="false">
      <c r="F915" s="7"/>
      <c r="H915" s="9"/>
      <c r="J915" s="8"/>
      <c r="K915" s="8"/>
      <c r="M915" s="9"/>
      <c r="P915" s="8"/>
      <c r="Q915" s="8"/>
      <c r="U915" s="0" t="str">
        <f aca="false">IF(A915="","",IF(AND(COUNTIF(Students!$A$2:$A$500,B915)=1,COUNTIF($A$2:$A$1000,A915)=1,ISNUMBER(H915),ISNUMBER(FIND("@",I915))),"OK","CHECK"))</f>
        <v/>
      </c>
    </row>
    <row r="916" customFormat="false" ht="15" hidden="false" customHeight="false" outlineLevel="0" collapsed="false">
      <c r="F916" s="7"/>
      <c r="H916" s="9"/>
      <c r="J916" s="8"/>
      <c r="K916" s="8"/>
      <c r="M916" s="9"/>
      <c r="P916" s="8"/>
      <c r="Q916" s="8"/>
      <c r="U916" s="0" t="str">
        <f aca="false">IF(A916="","",IF(AND(COUNTIF(Students!$A$2:$A$500,B916)=1,COUNTIF($A$2:$A$1000,A916)=1,ISNUMBER(H916),ISNUMBER(FIND("@",I916))),"OK","CHECK"))</f>
        <v/>
      </c>
    </row>
    <row r="917" customFormat="false" ht="15" hidden="false" customHeight="false" outlineLevel="0" collapsed="false">
      <c r="F917" s="7"/>
      <c r="H917" s="9"/>
      <c r="J917" s="8"/>
      <c r="K917" s="8"/>
      <c r="M917" s="9"/>
      <c r="P917" s="8"/>
      <c r="Q917" s="8"/>
      <c r="U917" s="0" t="str">
        <f aca="false">IF(A917="","",IF(AND(COUNTIF(Students!$A$2:$A$500,B917)=1,COUNTIF($A$2:$A$1000,A917)=1,ISNUMBER(H917),ISNUMBER(FIND("@",I917))),"OK","CHECK"))</f>
        <v/>
      </c>
    </row>
    <row r="918" customFormat="false" ht="15" hidden="false" customHeight="false" outlineLevel="0" collapsed="false">
      <c r="F918" s="7"/>
      <c r="H918" s="9"/>
      <c r="J918" s="8"/>
      <c r="K918" s="8"/>
      <c r="M918" s="9"/>
      <c r="P918" s="8"/>
      <c r="Q918" s="8"/>
      <c r="U918" s="0" t="str">
        <f aca="false">IF(A918="","",IF(AND(COUNTIF(Students!$A$2:$A$500,B918)=1,COUNTIF($A$2:$A$1000,A918)=1,ISNUMBER(H918),ISNUMBER(FIND("@",I918))),"OK","CHECK"))</f>
        <v/>
      </c>
    </row>
    <row r="919" customFormat="false" ht="15" hidden="false" customHeight="false" outlineLevel="0" collapsed="false">
      <c r="F919" s="7"/>
      <c r="H919" s="9"/>
      <c r="J919" s="8"/>
      <c r="K919" s="8"/>
      <c r="M919" s="9"/>
      <c r="P919" s="8"/>
      <c r="Q919" s="8"/>
      <c r="U919" s="0" t="str">
        <f aca="false">IF(A919="","",IF(AND(COUNTIF(Students!$A$2:$A$500,B919)=1,COUNTIF($A$2:$A$1000,A919)=1,ISNUMBER(H919),ISNUMBER(FIND("@",I919))),"OK","CHECK"))</f>
        <v/>
      </c>
    </row>
    <row r="920" customFormat="false" ht="15" hidden="false" customHeight="false" outlineLevel="0" collapsed="false">
      <c r="F920" s="7"/>
      <c r="H920" s="9"/>
      <c r="J920" s="8"/>
      <c r="K920" s="8"/>
      <c r="M920" s="9"/>
      <c r="P920" s="8"/>
      <c r="Q920" s="8"/>
      <c r="U920" s="0" t="str">
        <f aca="false">IF(A920="","",IF(AND(COUNTIF(Students!$A$2:$A$500,B920)=1,COUNTIF($A$2:$A$1000,A920)=1,ISNUMBER(H920),ISNUMBER(FIND("@",I920))),"OK","CHECK"))</f>
        <v/>
      </c>
    </row>
    <row r="921" customFormat="false" ht="15" hidden="false" customHeight="false" outlineLevel="0" collapsed="false">
      <c r="F921" s="7"/>
      <c r="H921" s="9"/>
      <c r="J921" s="8"/>
      <c r="K921" s="8"/>
      <c r="M921" s="9"/>
      <c r="P921" s="8"/>
      <c r="Q921" s="8"/>
      <c r="U921" s="0" t="str">
        <f aca="false">IF(A921="","",IF(AND(COUNTIF(Students!$A$2:$A$500,B921)=1,COUNTIF($A$2:$A$1000,A921)=1,ISNUMBER(H921),ISNUMBER(FIND("@",I921))),"OK","CHECK"))</f>
        <v/>
      </c>
    </row>
    <row r="922" customFormat="false" ht="15" hidden="false" customHeight="false" outlineLevel="0" collapsed="false">
      <c r="F922" s="7"/>
      <c r="H922" s="9"/>
      <c r="J922" s="8"/>
      <c r="K922" s="8"/>
      <c r="M922" s="9"/>
      <c r="P922" s="8"/>
      <c r="Q922" s="8"/>
      <c r="U922" s="0" t="str">
        <f aca="false">IF(A922="","",IF(AND(COUNTIF(Students!$A$2:$A$500,B922)=1,COUNTIF($A$2:$A$1000,A922)=1,ISNUMBER(H922),ISNUMBER(FIND("@",I922))),"OK","CHECK"))</f>
        <v/>
      </c>
    </row>
    <row r="923" customFormat="false" ht="15" hidden="false" customHeight="false" outlineLevel="0" collapsed="false">
      <c r="F923" s="7"/>
      <c r="H923" s="9"/>
      <c r="J923" s="8"/>
      <c r="K923" s="8"/>
      <c r="M923" s="9"/>
      <c r="P923" s="8"/>
      <c r="Q923" s="8"/>
      <c r="U923" s="0" t="str">
        <f aca="false">IF(A923="","",IF(AND(COUNTIF(Students!$A$2:$A$500,B923)=1,COUNTIF($A$2:$A$1000,A923)=1,ISNUMBER(H923),ISNUMBER(FIND("@",I923))),"OK","CHECK"))</f>
        <v/>
      </c>
    </row>
    <row r="924" customFormat="false" ht="15" hidden="false" customHeight="false" outlineLevel="0" collapsed="false">
      <c r="F924" s="7"/>
      <c r="H924" s="9"/>
      <c r="J924" s="8"/>
      <c r="K924" s="8"/>
      <c r="M924" s="9"/>
      <c r="P924" s="8"/>
      <c r="Q924" s="8"/>
      <c r="U924" s="0" t="str">
        <f aca="false">IF(A924="","",IF(AND(COUNTIF(Students!$A$2:$A$500,B924)=1,COUNTIF($A$2:$A$1000,A924)=1,ISNUMBER(H924),ISNUMBER(FIND("@",I924))),"OK","CHECK"))</f>
        <v/>
      </c>
    </row>
    <row r="925" customFormat="false" ht="15" hidden="false" customHeight="false" outlineLevel="0" collapsed="false">
      <c r="F925" s="7"/>
      <c r="H925" s="9"/>
      <c r="J925" s="8"/>
      <c r="K925" s="8"/>
      <c r="M925" s="9"/>
      <c r="P925" s="8"/>
      <c r="Q925" s="8"/>
      <c r="U925" s="0" t="str">
        <f aca="false">IF(A925="","",IF(AND(COUNTIF(Students!$A$2:$A$500,B925)=1,COUNTIF($A$2:$A$1000,A925)=1,ISNUMBER(H925),ISNUMBER(FIND("@",I925))),"OK","CHECK"))</f>
        <v/>
      </c>
    </row>
    <row r="926" customFormat="false" ht="15" hidden="false" customHeight="false" outlineLevel="0" collapsed="false">
      <c r="F926" s="7"/>
      <c r="H926" s="9"/>
      <c r="J926" s="8"/>
      <c r="K926" s="8"/>
      <c r="M926" s="9"/>
      <c r="P926" s="8"/>
      <c r="Q926" s="8"/>
      <c r="U926" s="0" t="str">
        <f aca="false">IF(A926="","",IF(AND(COUNTIF(Students!$A$2:$A$500,B926)=1,COUNTIF($A$2:$A$1000,A926)=1,ISNUMBER(H926),ISNUMBER(FIND("@",I926))),"OK","CHECK"))</f>
        <v/>
      </c>
    </row>
    <row r="927" customFormat="false" ht="15" hidden="false" customHeight="false" outlineLevel="0" collapsed="false">
      <c r="F927" s="7"/>
      <c r="H927" s="9"/>
      <c r="J927" s="8"/>
      <c r="K927" s="8"/>
      <c r="M927" s="9"/>
      <c r="P927" s="8"/>
      <c r="Q927" s="8"/>
      <c r="U927" s="0" t="str">
        <f aca="false">IF(A927="","",IF(AND(COUNTIF(Students!$A$2:$A$500,B927)=1,COUNTIF($A$2:$A$1000,A927)=1,ISNUMBER(H927),ISNUMBER(FIND("@",I927))),"OK","CHECK"))</f>
        <v/>
      </c>
    </row>
    <row r="928" customFormat="false" ht="15" hidden="false" customHeight="false" outlineLevel="0" collapsed="false">
      <c r="F928" s="7"/>
      <c r="H928" s="9"/>
      <c r="J928" s="8"/>
      <c r="K928" s="8"/>
      <c r="M928" s="9"/>
      <c r="P928" s="8"/>
      <c r="Q928" s="8"/>
      <c r="U928" s="0" t="str">
        <f aca="false">IF(A928="","",IF(AND(COUNTIF(Students!$A$2:$A$500,B928)=1,COUNTIF($A$2:$A$1000,A928)=1,ISNUMBER(H928),ISNUMBER(FIND("@",I928))),"OK","CHECK"))</f>
        <v/>
      </c>
    </row>
    <row r="929" customFormat="false" ht="15" hidden="false" customHeight="false" outlineLevel="0" collapsed="false">
      <c r="F929" s="7"/>
      <c r="H929" s="9"/>
      <c r="J929" s="8"/>
      <c r="K929" s="8"/>
      <c r="M929" s="9"/>
      <c r="P929" s="8"/>
      <c r="Q929" s="8"/>
      <c r="U929" s="0" t="str">
        <f aca="false">IF(A929="","",IF(AND(COUNTIF(Students!$A$2:$A$500,B929)=1,COUNTIF($A$2:$A$1000,A929)=1,ISNUMBER(H929),ISNUMBER(FIND("@",I929))),"OK","CHECK"))</f>
        <v/>
      </c>
    </row>
    <row r="930" customFormat="false" ht="15" hidden="false" customHeight="false" outlineLevel="0" collapsed="false">
      <c r="F930" s="7"/>
      <c r="H930" s="9"/>
      <c r="J930" s="8"/>
      <c r="K930" s="8"/>
      <c r="M930" s="9"/>
      <c r="P930" s="8"/>
      <c r="Q930" s="8"/>
      <c r="U930" s="0" t="str">
        <f aca="false">IF(A930="","",IF(AND(COUNTIF(Students!$A$2:$A$500,B930)=1,COUNTIF($A$2:$A$1000,A930)=1,ISNUMBER(H930),ISNUMBER(FIND("@",I930))),"OK","CHECK"))</f>
        <v/>
      </c>
    </row>
    <row r="931" customFormat="false" ht="15" hidden="false" customHeight="false" outlineLevel="0" collapsed="false">
      <c r="F931" s="7"/>
      <c r="H931" s="9"/>
      <c r="J931" s="8"/>
      <c r="K931" s="8"/>
      <c r="M931" s="9"/>
      <c r="P931" s="8"/>
      <c r="Q931" s="8"/>
      <c r="U931" s="0" t="str">
        <f aca="false">IF(A931="","",IF(AND(COUNTIF(Students!$A$2:$A$500,B931)=1,COUNTIF($A$2:$A$1000,A931)=1,ISNUMBER(H931),ISNUMBER(FIND("@",I931))),"OK","CHECK"))</f>
        <v/>
      </c>
    </row>
    <row r="932" customFormat="false" ht="15" hidden="false" customHeight="false" outlineLevel="0" collapsed="false">
      <c r="F932" s="7"/>
      <c r="H932" s="9"/>
      <c r="J932" s="8"/>
      <c r="K932" s="8"/>
      <c r="M932" s="9"/>
      <c r="P932" s="8"/>
      <c r="Q932" s="8"/>
      <c r="U932" s="0" t="str">
        <f aca="false">IF(A932="","",IF(AND(COUNTIF(Students!$A$2:$A$500,B932)=1,COUNTIF($A$2:$A$1000,A932)=1,ISNUMBER(H932),ISNUMBER(FIND("@",I932))),"OK","CHECK"))</f>
        <v/>
      </c>
    </row>
    <row r="933" customFormat="false" ht="15" hidden="false" customHeight="false" outlineLevel="0" collapsed="false">
      <c r="F933" s="7"/>
      <c r="H933" s="9"/>
      <c r="J933" s="8"/>
      <c r="K933" s="8"/>
      <c r="M933" s="9"/>
      <c r="P933" s="8"/>
      <c r="Q933" s="8"/>
      <c r="U933" s="0" t="str">
        <f aca="false">IF(A933="","",IF(AND(COUNTIF(Students!$A$2:$A$500,B933)=1,COUNTIF($A$2:$A$1000,A933)=1,ISNUMBER(H933),ISNUMBER(FIND("@",I933))),"OK","CHECK"))</f>
        <v/>
      </c>
    </row>
    <row r="934" customFormat="false" ht="15" hidden="false" customHeight="false" outlineLevel="0" collapsed="false">
      <c r="F934" s="7"/>
      <c r="H934" s="9"/>
      <c r="J934" s="8"/>
      <c r="K934" s="8"/>
      <c r="M934" s="9"/>
      <c r="P934" s="8"/>
      <c r="Q934" s="8"/>
      <c r="U934" s="0" t="str">
        <f aca="false">IF(A934="","",IF(AND(COUNTIF(Students!$A$2:$A$500,B934)=1,COUNTIF($A$2:$A$1000,A934)=1,ISNUMBER(H934),ISNUMBER(FIND("@",I934))),"OK","CHECK"))</f>
        <v/>
      </c>
    </row>
    <row r="935" customFormat="false" ht="15" hidden="false" customHeight="false" outlineLevel="0" collapsed="false">
      <c r="F935" s="7"/>
      <c r="H935" s="9"/>
      <c r="J935" s="8"/>
      <c r="K935" s="8"/>
      <c r="M935" s="9"/>
      <c r="P935" s="8"/>
      <c r="Q935" s="8"/>
      <c r="U935" s="0" t="str">
        <f aca="false">IF(A935="","",IF(AND(COUNTIF(Students!$A$2:$A$500,B935)=1,COUNTIF($A$2:$A$1000,A935)=1,ISNUMBER(H935),ISNUMBER(FIND("@",I935))),"OK","CHECK"))</f>
        <v/>
      </c>
    </row>
    <row r="936" customFormat="false" ht="15" hidden="false" customHeight="false" outlineLevel="0" collapsed="false">
      <c r="F936" s="7"/>
      <c r="H936" s="9"/>
      <c r="J936" s="8"/>
      <c r="K936" s="8"/>
      <c r="M936" s="9"/>
      <c r="P936" s="8"/>
      <c r="Q936" s="8"/>
      <c r="U936" s="0" t="str">
        <f aca="false">IF(A936="","",IF(AND(COUNTIF(Students!$A$2:$A$500,B936)=1,COUNTIF($A$2:$A$1000,A936)=1,ISNUMBER(H936),ISNUMBER(FIND("@",I936))),"OK","CHECK"))</f>
        <v/>
      </c>
    </row>
    <row r="937" customFormat="false" ht="15" hidden="false" customHeight="false" outlineLevel="0" collapsed="false">
      <c r="F937" s="7"/>
      <c r="H937" s="9"/>
      <c r="J937" s="8"/>
      <c r="K937" s="8"/>
      <c r="M937" s="9"/>
      <c r="P937" s="8"/>
      <c r="Q937" s="8"/>
      <c r="U937" s="0" t="str">
        <f aca="false">IF(A937="","",IF(AND(COUNTIF(Students!$A$2:$A$500,B937)=1,COUNTIF($A$2:$A$1000,A937)=1,ISNUMBER(H937),ISNUMBER(FIND("@",I937))),"OK","CHECK"))</f>
        <v/>
      </c>
    </row>
    <row r="938" customFormat="false" ht="15" hidden="false" customHeight="false" outlineLevel="0" collapsed="false">
      <c r="F938" s="7"/>
      <c r="H938" s="9"/>
      <c r="J938" s="8"/>
      <c r="K938" s="8"/>
      <c r="M938" s="9"/>
      <c r="P938" s="8"/>
      <c r="Q938" s="8"/>
      <c r="U938" s="0" t="str">
        <f aca="false">IF(A938="","",IF(AND(COUNTIF(Students!$A$2:$A$500,B938)=1,COUNTIF($A$2:$A$1000,A938)=1,ISNUMBER(H938),ISNUMBER(FIND("@",I938))),"OK","CHECK"))</f>
        <v/>
      </c>
    </row>
    <row r="939" customFormat="false" ht="15" hidden="false" customHeight="false" outlineLevel="0" collapsed="false">
      <c r="F939" s="7"/>
      <c r="H939" s="9"/>
      <c r="J939" s="8"/>
      <c r="K939" s="8"/>
      <c r="M939" s="9"/>
      <c r="P939" s="8"/>
      <c r="Q939" s="8"/>
      <c r="U939" s="0" t="str">
        <f aca="false">IF(A939="","",IF(AND(COUNTIF(Students!$A$2:$A$500,B939)=1,COUNTIF($A$2:$A$1000,A939)=1,ISNUMBER(H939),ISNUMBER(FIND("@",I939))),"OK","CHECK"))</f>
        <v/>
      </c>
    </row>
    <row r="940" customFormat="false" ht="15" hidden="false" customHeight="false" outlineLevel="0" collapsed="false">
      <c r="F940" s="7"/>
      <c r="H940" s="9"/>
      <c r="J940" s="8"/>
      <c r="K940" s="8"/>
      <c r="M940" s="9"/>
      <c r="P940" s="8"/>
      <c r="Q940" s="8"/>
      <c r="U940" s="0" t="str">
        <f aca="false">IF(A940="","",IF(AND(COUNTIF(Students!$A$2:$A$500,B940)=1,COUNTIF($A$2:$A$1000,A940)=1,ISNUMBER(H940),ISNUMBER(FIND("@",I940))),"OK","CHECK"))</f>
        <v/>
      </c>
    </row>
    <row r="941" customFormat="false" ht="15" hidden="false" customHeight="false" outlineLevel="0" collapsed="false">
      <c r="F941" s="7"/>
      <c r="H941" s="9"/>
      <c r="J941" s="8"/>
      <c r="K941" s="8"/>
      <c r="M941" s="9"/>
      <c r="P941" s="8"/>
      <c r="Q941" s="8"/>
      <c r="U941" s="0" t="str">
        <f aca="false">IF(A941="","",IF(AND(COUNTIF(Students!$A$2:$A$500,B941)=1,COUNTIF($A$2:$A$1000,A941)=1,ISNUMBER(H941),ISNUMBER(FIND("@",I941))),"OK","CHECK"))</f>
        <v/>
      </c>
    </row>
    <row r="942" customFormat="false" ht="15" hidden="false" customHeight="false" outlineLevel="0" collapsed="false">
      <c r="F942" s="7"/>
      <c r="H942" s="9"/>
      <c r="J942" s="8"/>
      <c r="K942" s="8"/>
      <c r="M942" s="9"/>
      <c r="P942" s="8"/>
      <c r="Q942" s="8"/>
      <c r="U942" s="0" t="str">
        <f aca="false">IF(A942="","",IF(AND(COUNTIF(Students!$A$2:$A$500,B942)=1,COUNTIF($A$2:$A$1000,A942)=1,ISNUMBER(H942),ISNUMBER(FIND("@",I942))),"OK","CHECK"))</f>
        <v/>
      </c>
    </row>
    <row r="943" customFormat="false" ht="15" hidden="false" customHeight="false" outlineLevel="0" collapsed="false">
      <c r="F943" s="7"/>
      <c r="H943" s="9"/>
      <c r="J943" s="8"/>
      <c r="K943" s="8"/>
      <c r="M943" s="9"/>
      <c r="P943" s="8"/>
      <c r="Q943" s="8"/>
      <c r="U943" s="0" t="str">
        <f aca="false">IF(A943="","",IF(AND(COUNTIF(Students!$A$2:$A$500,B943)=1,COUNTIF($A$2:$A$1000,A943)=1,ISNUMBER(H943),ISNUMBER(FIND("@",I943))),"OK","CHECK"))</f>
        <v/>
      </c>
    </row>
    <row r="944" customFormat="false" ht="15" hidden="false" customHeight="false" outlineLevel="0" collapsed="false">
      <c r="F944" s="7"/>
      <c r="H944" s="9"/>
      <c r="J944" s="8"/>
      <c r="K944" s="8"/>
      <c r="M944" s="9"/>
      <c r="P944" s="8"/>
      <c r="Q944" s="8"/>
      <c r="U944" s="0" t="str">
        <f aca="false">IF(A944="","",IF(AND(COUNTIF(Students!$A$2:$A$500,B944)=1,COUNTIF($A$2:$A$1000,A944)=1,ISNUMBER(H944),ISNUMBER(FIND("@",I944))),"OK","CHECK"))</f>
        <v/>
      </c>
    </row>
    <row r="945" customFormat="false" ht="15" hidden="false" customHeight="false" outlineLevel="0" collapsed="false">
      <c r="F945" s="7"/>
      <c r="H945" s="9"/>
      <c r="J945" s="8"/>
      <c r="K945" s="8"/>
      <c r="M945" s="9"/>
      <c r="P945" s="8"/>
      <c r="Q945" s="8"/>
      <c r="U945" s="0" t="str">
        <f aca="false">IF(A945="","",IF(AND(COUNTIF(Students!$A$2:$A$500,B945)=1,COUNTIF($A$2:$A$1000,A945)=1,ISNUMBER(H945),ISNUMBER(FIND("@",I945))),"OK","CHECK"))</f>
        <v/>
      </c>
    </row>
    <row r="946" customFormat="false" ht="15" hidden="false" customHeight="false" outlineLevel="0" collapsed="false">
      <c r="F946" s="7"/>
      <c r="H946" s="9"/>
      <c r="J946" s="8"/>
      <c r="K946" s="8"/>
      <c r="M946" s="9"/>
      <c r="P946" s="8"/>
      <c r="Q946" s="8"/>
      <c r="U946" s="0" t="str">
        <f aca="false">IF(A946="","",IF(AND(COUNTIF(Students!$A$2:$A$500,B946)=1,COUNTIF($A$2:$A$1000,A946)=1,ISNUMBER(H946),ISNUMBER(FIND("@",I946))),"OK","CHECK"))</f>
        <v/>
      </c>
    </row>
    <row r="947" customFormat="false" ht="15" hidden="false" customHeight="false" outlineLevel="0" collapsed="false">
      <c r="F947" s="7"/>
      <c r="H947" s="9"/>
      <c r="J947" s="8"/>
      <c r="K947" s="8"/>
      <c r="M947" s="9"/>
      <c r="P947" s="8"/>
      <c r="Q947" s="8"/>
      <c r="U947" s="0" t="str">
        <f aca="false">IF(A947="","",IF(AND(COUNTIF(Students!$A$2:$A$500,B947)=1,COUNTIF($A$2:$A$1000,A947)=1,ISNUMBER(H947),ISNUMBER(FIND("@",I947))),"OK","CHECK"))</f>
        <v/>
      </c>
    </row>
    <row r="948" customFormat="false" ht="15" hidden="false" customHeight="false" outlineLevel="0" collapsed="false">
      <c r="F948" s="7"/>
      <c r="H948" s="9"/>
      <c r="J948" s="8"/>
      <c r="K948" s="8"/>
      <c r="M948" s="9"/>
      <c r="P948" s="8"/>
      <c r="Q948" s="8"/>
      <c r="U948" s="0" t="str">
        <f aca="false">IF(A948="","",IF(AND(COUNTIF(Students!$A$2:$A$500,B948)=1,COUNTIF($A$2:$A$1000,A948)=1,ISNUMBER(H948),ISNUMBER(FIND("@",I948))),"OK","CHECK"))</f>
        <v/>
      </c>
    </row>
    <row r="949" customFormat="false" ht="15" hidden="false" customHeight="false" outlineLevel="0" collapsed="false">
      <c r="F949" s="7"/>
      <c r="H949" s="9"/>
      <c r="J949" s="8"/>
      <c r="K949" s="8"/>
      <c r="M949" s="9"/>
      <c r="P949" s="8"/>
      <c r="Q949" s="8"/>
      <c r="U949" s="0" t="str">
        <f aca="false">IF(A949="","",IF(AND(COUNTIF(Students!$A$2:$A$500,B949)=1,COUNTIF($A$2:$A$1000,A949)=1,ISNUMBER(H949),ISNUMBER(FIND("@",I949))),"OK","CHECK"))</f>
        <v/>
      </c>
    </row>
    <row r="950" customFormat="false" ht="15" hidden="false" customHeight="false" outlineLevel="0" collapsed="false">
      <c r="F950" s="7"/>
      <c r="H950" s="9"/>
      <c r="J950" s="8"/>
      <c r="K950" s="8"/>
      <c r="M950" s="9"/>
      <c r="P950" s="8"/>
      <c r="Q950" s="8"/>
      <c r="U950" s="0" t="str">
        <f aca="false">IF(A950="","",IF(AND(COUNTIF(Students!$A$2:$A$500,B950)=1,COUNTIF($A$2:$A$1000,A950)=1,ISNUMBER(H950),ISNUMBER(FIND("@",I950))),"OK","CHECK"))</f>
        <v/>
      </c>
    </row>
    <row r="951" customFormat="false" ht="15" hidden="false" customHeight="false" outlineLevel="0" collapsed="false">
      <c r="F951" s="7"/>
      <c r="H951" s="9"/>
      <c r="J951" s="8"/>
      <c r="K951" s="8"/>
      <c r="M951" s="9"/>
      <c r="P951" s="8"/>
      <c r="Q951" s="8"/>
      <c r="U951" s="0" t="str">
        <f aca="false">IF(A951="","",IF(AND(COUNTIF(Students!$A$2:$A$500,B951)=1,COUNTIF($A$2:$A$1000,A951)=1,ISNUMBER(H951),ISNUMBER(FIND("@",I951))),"OK","CHECK"))</f>
        <v/>
      </c>
    </row>
    <row r="952" customFormat="false" ht="15" hidden="false" customHeight="false" outlineLevel="0" collapsed="false">
      <c r="F952" s="7"/>
      <c r="H952" s="9"/>
      <c r="J952" s="8"/>
      <c r="K952" s="8"/>
      <c r="M952" s="9"/>
      <c r="P952" s="8"/>
      <c r="Q952" s="8"/>
      <c r="U952" s="0" t="str">
        <f aca="false">IF(A952="","",IF(AND(COUNTIF(Students!$A$2:$A$500,B952)=1,COUNTIF($A$2:$A$1000,A952)=1,ISNUMBER(H952),ISNUMBER(FIND("@",I952))),"OK","CHECK"))</f>
        <v/>
      </c>
    </row>
    <row r="953" customFormat="false" ht="15" hidden="false" customHeight="false" outlineLevel="0" collapsed="false">
      <c r="F953" s="7"/>
      <c r="H953" s="9"/>
      <c r="J953" s="8"/>
      <c r="K953" s="8"/>
      <c r="M953" s="9"/>
      <c r="P953" s="8"/>
      <c r="Q953" s="8"/>
      <c r="U953" s="0" t="str">
        <f aca="false">IF(A953="","",IF(AND(COUNTIF(Students!$A$2:$A$500,B953)=1,COUNTIF($A$2:$A$1000,A953)=1,ISNUMBER(H953),ISNUMBER(FIND("@",I953))),"OK","CHECK"))</f>
        <v/>
      </c>
    </row>
    <row r="954" customFormat="false" ht="15" hidden="false" customHeight="false" outlineLevel="0" collapsed="false">
      <c r="F954" s="7"/>
      <c r="H954" s="9"/>
      <c r="J954" s="8"/>
      <c r="K954" s="8"/>
      <c r="M954" s="9"/>
      <c r="P954" s="8"/>
      <c r="Q954" s="8"/>
      <c r="U954" s="0" t="str">
        <f aca="false">IF(A954="","",IF(AND(COUNTIF(Students!$A$2:$A$500,B954)=1,COUNTIF($A$2:$A$1000,A954)=1,ISNUMBER(H954),ISNUMBER(FIND("@",I954))),"OK","CHECK"))</f>
        <v/>
      </c>
    </row>
    <row r="955" customFormat="false" ht="15" hidden="false" customHeight="false" outlineLevel="0" collapsed="false">
      <c r="F955" s="7"/>
      <c r="H955" s="9"/>
      <c r="J955" s="8"/>
      <c r="K955" s="8"/>
      <c r="M955" s="9"/>
      <c r="P955" s="8"/>
      <c r="Q955" s="8"/>
      <c r="U955" s="0" t="str">
        <f aca="false">IF(A955="","",IF(AND(COUNTIF(Students!$A$2:$A$500,B955)=1,COUNTIF($A$2:$A$1000,A955)=1,ISNUMBER(H955),ISNUMBER(FIND("@",I955))),"OK","CHECK"))</f>
        <v/>
      </c>
    </row>
    <row r="956" customFormat="false" ht="15" hidden="false" customHeight="false" outlineLevel="0" collapsed="false">
      <c r="F956" s="7"/>
      <c r="H956" s="9"/>
      <c r="J956" s="8"/>
      <c r="K956" s="8"/>
      <c r="M956" s="9"/>
      <c r="P956" s="8"/>
      <c r="Q956" s="8"/>
      <c r="U956" s="0" t="str">
        <f aca="false">IF(A956="","",IF(AND(COUNTIF(Students!$A$2:$A$500,B956)=1,COUNTIF($A$2:$A$1000,A956)=1,ISNUMBER(H956),ISNUMBER(FIND("@",I956))),"OK","CHECK"))</f>
        <v/>
      </c>
    </row>
    <row r="957" customFormat="false" ht="15" hidden="false" customHeight="false" outlineLevel="0" collapsed="false">
      <c r="F957" s="7"/>
      <c r="H957" s="9"/>
      <c r="J957" s="8"/>
      <c r="K957" s="8"/>
      <c r="M957" s="9"/>
      <c r="P957" s="8"/>
      <c r="Q957" s="8"/>
      <c r="U957" s="0" t="str">
        <f aca="false">IF(A957="","",IF(AND(COUNTIF(Students!$A$2:$A$500,B957)=1,COUNTIF($A$2:$A$1000,A957)=1,ISNUMBER(H957),ISNUMBER(FIND("@",I957))),"OK","CHECK"))</f>
        <v/>
      </c>
    </row>
    <row r="958" customFormat="false" ht="15" hidden="false" customHeight="false" outlineLevel="0" collapsed="false">
      <c r="F958" s="7"/>
      <c r="H958" s="9"/>
      <c r="J958" s="8"/>
      <c r="K958" s="8"/>
      <c r="M958" s="9"/>
      <c r="P958" s="8"/>
      <c r="Q958" s="8"/>
      <c r="U958" s="0" t="str">
        <f aca="false">IF(A958="","",IF(AND(COUNTIF(Students!$A$2:$A$500,B958)=1,COUNTIF($A$2:$A$1000,A958)=1,ISNUMBER(H958),ISNUMBER(FIND("@",I958))),"OK","CHECK"))</f>
        <v/>
      </c>
    </row>
    <row r="959" customFormat="false" ht="15" hidden="false" customHeight="false" outlineLevel="0" collapsed="false">
      <c r="F959" s="7"/>
      <c r="H959" s="9"/>
      <c r="J959" s="8"/>
      <c r="K959" s="8"/>
      <c r="M959" s="9"/>
      <c r="P959" s="8"/>
      <c r="Q959" s="8"/>
      <c r="U959" s="0" t="str">
        <f aca="false">IF(A959="","",IF(AND(COUNTIF(Students!$A$2:$A$500,B959)=1,COUNTIF($A$2:$A$1000,A959)=1,ISNUMBER(H959),ISNUMBER(FIND("@",I959))),"OK","CHECK"))</f>
        <v/>
      </c>
    </row>
    <row r="960" customFormat="false" ht="15" hidden="false" customHeight="false" outlineLevel="0" collapsed="false">
      <c r="F960" s="7"/>
      <c r="H960" s="9"/>
      <c r="J960" s="8"/>
      <c r="K960" s="8"/>
      <c r="M960" s="9"/>
      <c r="P960" s="8"/>
      <c r="Q960" s="8"/>
      <c r="U960" s="0" t="str">
        <f aca="false">IF(A960="","",IF(AND(COUNTIF(Students!$A$2:$A$500,B960)=1,COUNTIF($A$2:$A$1000,A960)=1,ISNUMBER(H960),ISNUMBER(FIND("@",I960))),"OK","CHECK"))</f>
        <v/>
      </c>
    </row>
    <row r="961" customFormat="false" ht="15" hidden="false" customHeight="false" outlineLevel="0" collapsed="false">
      <c r="F961" s="7"/>
      <c r="H961" s="9"/>
      <c r="J961" s="8"/>
      <c r="K961" s="8"/>
      <c r="M961" s="9"/>
      <c r="P961" s="8"/>
      <c r="Q961" s="8"/>
      <c r="U961" s="0" t="str">
        <f aca="false">IF(A961="","",IF(AND(COUNTIF(Students!$A$2:$A$500,B961)=1,COUNTIF($A$2:$A$1000,A961)=1,ISNUMBER(H961),ISNUMBER(FIND("@",I961))),"OK","CHECK"))</f>
        <v/>
      </c>
    </row>
    <row r="962" customFormat="false" ht="15" hidden="false" customHeight="false" outlineLevel="0" collapsed="false">
      <c r="F962" s="7"/>
      <c r="H962" s="9"/>
      <c r="J962" s="8"/>
      <c r="K962" s="8"/>
      <c r="M962" s="9"/>
      <c r="P962" s="8"/>
      <c r="Q962" s="8"/>
      <c r="U962" s="0" t="str">
        <f aca="false">IF(A962="","",IF(AND(COUNTIF(Students!$A$2:$A$500,B962)=1,COUNTIF($A$2:$A$1000,A962)=1,ISNUMBER(H962),ISNUMBER(FIND("@",I962))),"OK","CHECK"))</f>
        <v/>
      </c>
    </row>
    <row r="963" customFormat="false" ht="15" hidden="false" customHeight="false" outlineLevel="0" collapsed="false">
      <c r="F963" s="7"/>
      <c r="H963" s="9"/>
      <c r="J963" s="8"/>
      <c r="K963" s="8"/>
      <c r="M963" s="9"/>
      <c r="P963" s="8"/>
      <c r="Q963" s="8"/>
      <c r="U963" s="0" t="str">
        <f aca="false">IF(A963="","",IF(AND(COUNTIF(Students!$A$2:$A$500,B963)=1,COUNTIF($A$2:$A$1000,A963)=1,ISNUMBER(H963),ISNUMBER(FIND("@",I963))),"OK","CHECK"))</f>
        <v/>
      </c>
    </row>
    <row r="964" customFormat="false" ht="15" hidden="false" customHeight="false" outlineLevel="0" collapsed="false">
      <c r="F964" s="7"/>
      <c r="H964" s="9"/>
      <c r="J964" s="8"/>
      <c r="K964" s="8"/>
      <c r="M964" s="9"/>
      <c r="P964" s="8"/>
      <c r="Q964" s="8"/>
      <c r="U964" s="0" t="str">
        <f aca="false">IF(A964="","",IF(AND(COUNTIF(Students!$A$2:$A$500,B964)=1,COUNTIF($A$2:$A$1000,A964)=1,ISNUMBER(H964),ISNUMBER(FIND("@",I964))),"OK","CHECK"))</f>
        <v/>
      </c>
    </row>
    <row r="965" customFormat="false" ht="15" hidden="false" customHeight="false" outlineLevel="0" collapsed="false">
      <c r="F965" s="7"/>
      <c r="H965" s="9"/>
      <c r="J965" s="8"/>
      <c r="K965" s="8"/>
      <c r="M965" s="9"/>
      <c r="P965" s="8"/>
      <c r="Q965" s="8"/>
      <c r="U965" s="0" t="str">
        <f aca="false">IF(A965="","",IF(AND(COUNTIF(Students!$A$2:$A$500,B965)=1,COUNTIF($A$2:$A$1000,A965)=1,ISNUMBER(H965),ISNUMBER(FIND("@",I965))),"OK","CHECK"))</f>
        <v/>
      </c>
    </row>
    <row r="966" customFormat="false" ht="15" hidden="false" customHeight="false" outlineLevel="0" collapsed="false">
      <c r="F966" s="7"/>
      <c r="H966" s="9"/>
      <c r="J966" s="8"/>
      <c r="K966" s="8"/>
      <c r="M966" s="9"/>
      <c r="P966" s="8"/>
      <c r="Q966" s="8"/>
      <c r="U966" s="0" t="str">
        <f aca="false">IF(A966="","",IF(AND(COUNTIF(Students!$A$2:$A$500,B966)=1,COUNTIF($A$2:$A$1000,A966)=1,ISNUMBER(H966),ISNUMBER(FIND("@",I966))),"OK","CHECK"))</f>
        <v/>
      </c>
    </row>
    <row r="967" customFormat="false" ht="15" hidden="false" customHeight="false" outlineLevel="0" collapsed="false">
      <c r="F967" s="7"/>
      <c r="H967" s="9"/>
      <c r="J967" s="8"/>
      <c r="K967" s="8"/>
      <c r="M967" s="9"/>
      <c r="P967" s="8"/>
      <c r="Q967" s="8"/>
      <c r="U967" s="0" t="str">
        <f aca="false">IF(A967="","",IF(AND(COUNTIF(Students!$A$2:$A$500,B967)=1,COUNTIF($A$2:$A$1000,A967)=1,ISNUMBER(H967),ISNUMBER(FIND("@",I967))),"OK","CHECK"))</f>
        <v/>
      </c>
    </row>
    <row r="968" customFormat="false" ht="15" hidden="false" customHeight="false" outlineLevel="0" collapsed="false">
      <c r="F968" s="7"/>
      <c r="H968" s="9"/>
      <c r="J968" s="8"/>
      <c r="K968" s="8"/>
      <c r="M968" s="9"/>
      <c r="P968" s="8"/>
      <c r="Q968" s="8"/>
      <c r="U968" s="0" t="str">
        <f aca="false">IF(A968="","",IF(AND(COUNTIF(Students!$A$2:$A$500,B968)=1,COUNTIF($A$2:$A$1000,A968)=1,ISNUMBER(H968),ISNUMBER(FIND("@",I968))),"OK","CHECK"))</f>
        <v/>
      </c>
    </row>
    <row r="969" customFormat="false" ht="15" hidden="false" customHeight="false" outlineLevel="0" collapsed="false">
      <c r="F969" s="7"/>
      <c r="H969" s="9"/>
      <c r="J969" s="8"/>
      <c r="K969" s="8"/>
      <c r="M969" s="9"/>
      <c r="P969" s="8"/>
      <c r="Q969" s="8"/>
      <c r="U969" s="0" t="str">
        <f aca="false">IF(A969="","",IF(AND(COUNTIF(Students!$A$2:$A$500,B969)=1,COUNTIF($A$2:$A$1000,A969)=1,ISNUMBER(H969),ISNUMBER(FIND("@",I969))),"OK","CHECK"))</f>
        <v/>
      </c>
    </row>
    <row r="970" customFormat="false" ht="15" hidden="false" customHeight="false" outlineLevel="0" collapsed="false">
      <c r="F970" s="7"/>
      <c r="H970" s="9"/>
      <c r="J970" s="8"/>
      <c r="K970" s="8"/>
      <c r="M970" s="9"/>
      <c r="P970" s="8"/>
      <c r="Q970" s="8"/>
      <c r="U970" s="0" t="str">
        <f aca="false">IF(A970="","",IF(AND(COUNTIF(Students!$A$2:$A$500,B970)=1,COUNTIF($A$2:$A$1000,A970)=1,ISNUMBER(H970),ISNUMBER(FIND("@",I970))),"OK","CHECK"))</f>
        <v/>
      </c>
    </row>
    <row r="971" customFormat="false" ht="15" hidden="false" customHeight="false" outlineLevel="0" collapsed="false">
      <c r="F971" s="7"/>
      <c r="H971" s="9"/>
      <c r="J971" s="8"/>
      <c r="K971" s="8"/>
      <c r="M971" s="9"/>
      <c r="P971" s="8"/>
      <c r="Q971" s="8"/>
      <c r="U971" s="0" t="str">
        <f aca="false">IF(A971="","",IF(AND(COUNTIF(Students!$A$2:$A$500,B971)=1,COUNTIF($A$2:$A$1000,A971)=1,ISNUMBER(H971),ISNUMBER(FIND("@",I971))),"OK","CHECK"))</f>
        <v/>
      </c>
    </row>
    <row r="972" customFormat="false" ht="15" hidden="false" customHeight="false" outlineLevel="0" collapsed="false">
      <c r="F972" s="7"/>
      <c r="H972" s="9"/>
      <c r="J972" s="8"/>
      <c r="K972" s="8"/>
      <c r="M972" s="9"/>
      <c r="P972" s="8"/>
      <c r="Q972" s="8"/>
      <c r="U972" s="0" t="str">
        <f aca="false">IF(A972="","",IF(AND(COUNTIF(Students!$A$2:$A$500,B972)=1,COUNTIF($A$2:$A$1000,A972)=1,ISNUMBER(H972),ISNUMBER(FIND("@",I972))),"OK","CHECK"))</f>
        <v/>
      </c>
    </row>
    <row r="973" customFormat="false" ht="15" hidden="false" customHeight="false" outlineLevel="0" collapsed="false">
      <c r="F973" s="7"/>
      <c r="H973" s="9"/>
      <c r="J973" s="8"/>
      <c r="K973" s="8"/>
      <c r="M973" s="9"/>
      <c r="P973" s="8"/>
      <c r="Q973" s="8"/>
      <c r="U973" s="0" t="str">
        <f aca="false">IF(A973="","",IF(AND(COUNTIF(Students!$A$2:$A$500,B973)=1,COUNTIF($A$2:$A$1000,A973)=1,ISNUMBER(H973),ISNUMBER(FIND("@",I973))),"OK","CHECK"))</f>
        <v/>
      </c>
    </row>
    <row r="974" customFormat="false" ht="15" hidden="false" customHeight="false" outlineLevel="0" collapsed="false">
      <c r="F974" s="7"/>
      <c r="H974" s="9"/>
      <c r="J974" s="8"/>
      <c r="K974" s="8"/>
      <c r="M974" s="9"/>
      <c r="P974" s="8"/>
      <c r="Q974" s="8"/>
      <c r="U974" s="0" t="str">
        <f aca="false">IF(A974="","",IF(AND(COUNTIF(Students!$A$2:$A$500,B974)=1,COUNTIF($A$2:$A$1000,A974)=1,ISNUMBER(H974),ISNUMBER(FIND("@",I974))),"OK","CHECK"))</f>
        <v/>
      </c>
    </row>
    <row r="975" customFormat="false" ht="15" hidden="false" customHeight="false" outlineLevel="0" collapsed="false">
      <c r="F975" s="7"/>
      <c r="H975" s="9"/>
      <c r="J975" s="8"/>
      <c r="K975" s="8"/>
      <c r="M975" s="9"/>
      <c r="P975" s="8"/>
      <c r="Q975" s="8"/>
      <c r="U975" s="0" t="str">
        <f aca="false">IF(A975="","",IF(AND(COUNTIF(Students!$A$2:$A$500,B975)=1,COUNTIF($A$2:$A$1000,A975)=1,ISNUMBER(H975),ISNUMBER(FIND("@",I975))),"OK","CHECK"))</f>
        <v/>
      </c>
    </row>
    <row r="976" customFormat="false" ht="15" hidden="false" customHeight="false" outlineLevel="0" collapsed="false">
      <c r="F976" s="7"/>
      <c r="H976" s="9"/>
      <c r="J976" s="8"/>
      <c r="K976" s="8"/>
      <c r="M976" s="9"/>
      <c r="P976" s="8"/>
      <c r="Q976" s="8"/>
      <c r="U976" s="0" t="str">
        <f aca="false">IF(A976="","",IF(AND(COUNTIF(Students!$A$2:$A$500,B976)=1,COUNTIF($A$2:$A$1000,A976)=1,ISNUMBER(H976),ISNUMBER(FIND("@",I976))),"OK","CHECK"))</f>
        <v/>
      </c>
    </row>
    <row r="977" customFormat="false" ht="15" hidden="false" customHeight="false" outlineLevel="0" collapsed="false">
      <c r="F977" s="7"/>
      <c r="H977" s="9"/>
      <c r="J977" s="8"/>
      <c r="K977" s="8"/>
      <c r="M977" s="9"/>
      <c r="P977" s="8"/>
      <c r="Q977" s="8"/>
      <c r="U977" s="0" t="str">
        <f aca="false">IF(A977="","",IF(AND(COUNTIF(Students!$A$2:$A$500,B977)=1,COUNTIF($A$2:$A$1000,A977)=1,ISNUMBER(H977),ISNUMBER(FIND("@",I977))),"OK","CHECK"))</f>
        <v/>
      </c>
    </row>
    <row r="978" customFormat="false" ht="15" hidden="false" customHeight="false" outlineLevel="0" collapsed="false">
      <c r="F978" s="7"/>
      <c r="H978" s="9"/>
      <c r="J978" s="8"/>
      <c r="K978" s="8"/>
      <c r="M978" s="9"/>
      <c r="P978" s="8"/>
      <c r="Q978" s="8"/>
      <c r="U978" s="0" t="str">
        <f aca="false">IF(A978="","",IF(AND(COUNTIF(Students!$A$2:$A$500,B978)=1,COUNTIF($A$2:$A$1000,A978)=1,ISNUMBER(H978),ISNUMBER(FIND("@",I978))),"OK","CHECK"))</f>
        <v/>
      </c>
    </row>
    <row r="979" customFormat="false" ht="15" hidden="false" customHeight="false" outlineLevel="0" collapsed="false">
      <c r="F979" s="7"/>
      <c r="H979" s="9"/>
      <c r="J979" s="8"/>
      <c r="K979" s="8"/>
      <c r="M979" s="9"/>
      <c r="P979" s="8"/>
      <c r="Q979" s="8"/>
      <c r="U979" s="0" t="str">
        <f aca="false">IF(A979="","",IF(AND(COUNTIF(Students!$A$2:$A$500,B979)=1,COUNTIF($A$2:$A$1000,A979)=1,ISNUMBER(H979),ISNUMBER(FIND("@",I979))),"OK","CHECK"))</f>
        <v/>
      </c>
    </row>
    <row r="980" customFormat="false" ht="15" hidden="false" customHeight="false" outlineLevel="0" collapsed="false">
      <c r="F980" s="7"/>
      <c r="H980" s="9"/>
      <c r="J980" s="8"/>
      <c r="K980" s="8"/>
      <c r="M980" s="9"/>
      <c r="P980" s="8"/>
      <c r="Q980" s="8"/>
      <c r="U980" s="0" t="str">
        <f aca="false">IF(A980="","",IF(AND(COUNTIF(Students!$A$2:$A$500,B980)=1,COUNTIF($A$2:$A$1000,A980)=1,ISNUMBER(H980),ISNUMBER(FIND("@",I980))),"OK","CHECK"))</f>
        <v/>
      </c>
    </row>
    <row r="981" customFormat="false" ht="15" hidden="false" customHeight="false" outlineLevel="0" collapsed="false">
      <c r="F981" s="7"/>
      <c r="H981" s="9"/>
      <c r="J981" s="8"/>
      <c r="K981" s="8"/>
      <c r="M981" s="9"/>
      <c r="P981" s="8"/>
      <c r="Q981" s="8"/>
      <c r="U981" s="0" t="str">
        <f aca="false">IF(A981="","",IF(AND(COUNTIF(Students!$A$2:$A$500,B981)=1,COUNTIF($A$2:$A$1000,A981)=1,ISNUMBER(H981),ISNUMBER(FIND("@",I981))),"OK","CHECK"))</f>
        <v/>
      </c>
    </row>
    <row r="982" customFormat="false" ht="15" hidden="false" customHeight="false" outlineLevel="0" collapsed="false">
      <c r="F982" s="7"/>
      <c r="H982" s="9"/>
      <c r="J982" s="8"/>
      <c r="K982" s="8"/>
      <c r="M982" s="9"/>
      <c r="P982" s="8"/>
      <c r="Q982" s="8"/>
      <c r="U982" s="0" t="str">
        <f aca="false">IF(A982="","",IF(AND(COUNTIF(Students!$A$2:$A$500,B982)=1,COUNTIF($A$2:$A$1000,A982)=1,ISNUMBER(H982),ISNUMBER(FIND("@",I982))),"OK","CHECK"))</f>
        <v/>
      </c>
    </row>
    <row r="983" customFormat="false" ht="15" hidden="false" customHeight="false" outlineLevel="0" collapsed="false">
      <c r="F983" s="7"/>
      <c r="H983" s="9"/>
      <c r="J983" s="8"/>
      <c r="K983" s="8"/>
      <c r="M983" s="9"/>
      <c r="P983" s="8"/>
      <c r="Q983" s="8"/>
      <c r="U983" s="0" t="str">
        <f aca="false">IF(A983="","",IF(AND(COUNTIF(Students!$A$2:$A$500,B983)=1,COUNTIF($A$2:$A$1000,A983)=1,ISNUMBER(H983),ISNUMBER(FIND("@",I983))),"OK","CHECK"))</f>
        <v/>
      </c>
    </row>
    <row r="984" customFormat="false" ht="15" hidden="false" customHeight="false" outlineLevel="0" collapsed="false">
      <c r="F984" s="7"/>
      <c r="H984" s="9"/>
      <c r="J984" s="8"/>
      <c r="K984" s="8"/>
      <c r="M984" s="9"/>
      <c r="P984" s="8"/>
      <c r="Q984" s="8"/>
      <c r="U984" s="0" t="str">
        <f aca="false">IF(A984="","",IF(AND(COUNTIF(Students!$A$2:$A$500,B984)=1,COUNTIF($A$2:$A$1000,A984)=1,ISNUMBER(H984),ISNUMBER(FIND("@",I984))),"OK","CHECK"))</f>
        <v/>
      </c>
    </row>
    <row r="985" customFormat="false" ht="15" hidden="false" customHeight="false" outlineLevel="0" collapsed="false">
      <c r="F985" s="7"/>
      <c r="H985" s="9"/>
      <c r="J985" s="8"/>
      <c r="K985" s="8"/>
      <c r="M985" s="9"/>
      <c r="P985" s="8"/>
      <c r="Q985" s="8"/>
      <c r="U985" s="0" t="str">
        <f aca="false">IF(A985="","",IF(AND(COUNTIF(Students!$A$2:$A$500,B985)=1,COUNTIF($A$2:$A$1000,A985)=1,ISNUMBER(H985),ISNUMBER(FIND("@",I985))),"OK","CHECK"))</f>
        <v/>
      </c>
    </row>
    <row r="986" customFormat="false" ht="15" hidden="false" customHeight="false" outlineLevel="0" collapsed="false">
      <c r="F986" s="7"/>
      <c r="H986" s="9"/>
      <c r="J986" s="8"/>
      <c r="K986" s="8"/>
      <c r="M986" s="9"/>
      <c r="P986" s="8"/>
      <c r="Q986" s="8"/>
      <c r="U986" s="0" t="str">
        <f aca="false">IF(A986="","",IF(AND(COUNTIF(Students!$A$2:$A$500,B986)=1,COUNTIF($A$2:$A$1000,A986)=1,ISNUMBER(H986),ISNUMBER(FIND("@",I986))),"OK","CHECK"))</f>
        <v/>
      </c>
    </row>
    <row r="987" customFormat="false" ht="15" hidden="false" customHeight="false" outlineLevel="0" collapsed="false">
      <c r="F987" s="7"/>
      <c r="H987" s="9"/>
      <c r="J987" s="8"/>
      <c r="K987" s="8"/>
      <c r="M987" s="9"/>
      <c r="P987" s="8"/>
      <c r="Q987" s="8"/>
      <c r="U987" s="0" t="str">
        <f aca="false">IF(A987="","",IF(AND(COUNTIF(Students!$A$2:$A$500,B987)=1,COUNTIF($A$2:$A$1000,A987)=1,ISNUMBER(H987),ISNUMBER(FIND("@",I987))),"OK","CHECK"))</f>
        <v/>
      </c>
    </row>
    <row r="988" customFormat="false" ht="15" hidden="false" customHeight="false" outlineLevel="0" collapsed="false">
      <c r="F988" s="7"/>
      <c r="H988" s="9"/>
      <c r="J988" s="8"/>
      <c r="K988" s="8"/>
      <c r="M988" s="9"/>
      <c r="P988" s="8"/>
      <c r="Q988" s="8"/>
      <c r="U988" s="0" t="str">
        <f aca="false">IF(A988="","",IF(AND(COUNTIF(Students!$A$2:$A$500,B988)=1,COUNTIF($A$2:$A$1000,A988)=1,ISNUMBER(H988),ISNUMBER(FIND("@",I988))),"OK","CHECK"))</f>
        <v/>
      </c>
    </row>
    <row r="989" customFormat="false" ht="15" hidden="false" customHeight="false" outlineLevel="0" collapsed="false">
      <c r="F989" s="7"/>
      <c r="H989" s="9"/>
      <c r="J989" s="8"/>
      <c r="K989" s="8"/>
      <c r="M989" s="9"/>
      <c r="P989" s="8"/>
      <c r="Q989" s="8"/>
      <c r="U989" s="0" t="str">
        <f aca="false">IF(A989="","",IF(AND(COUNTIF(Students!$A$2:$A$500,B989)=1,COUNTIF($A$2:$A$1000,A989)=1,ISNUMBER(H989),ISNUMBER(FIND("@",I989))),"OK","CHECK"))</f>
        <v/>
      </c>
    </row>
    <row r="990" customFormat="false" ht="15" hidden="false" customHeight="false" outlineLevel="0" collapsed="false">
      <c r="F990" s="7"/>
      <c r="H990" s="9"/>
      <c r="J990" s="8"/>
      <c r="K990" s="8"/>
      <c r="M990" s="9"/>
      <c r="P990" s="8"/>
      <c r="Q990" s="8"/>
      <c r="U990" s="0" t="str">
        <f aca="false">IF(A990="","",IF(AND(COUNTIF(Students!$A$2:$A$500,B990)=1,COUNTIF($A$2:$A$1000,A990)=1,ISNUMBER(H990),ISNUMBER(FIND("@",I990))),"OK","CHECK"))</f>
        <v/>
      </c>
    </row>
    <row r="991" customFormat="false" ht="15" hidden="false" customHeight="false" outlineLevel="0" collapsed="false">
      <c r="F991" s="7"/>
      <c r="H991" s="9"/>
      <c r="J991" s="8"/>
      <c r="K991" s="8"/>
      <c r="M991" s="9"/>
      <c r="P991" s="8"/>
      <c r="Q991" s="8"/>
      <c r="U991" s="0" t="str">
        <f aca="false">IF(A991="","",IF(AND(COUNTIF(Students!$A$2:$A$500,B991)=1,COUNTIF($A$2:$A$1000,A991)=1,ISNUMBER(H991),ISNUMBER(FIND("@",I991))),"OK","CHECK"))</f>
        <v/>
      </c>
    </row>
    <row r="992" customFormat="false" ht="15" hidden="false" customHeight="false" outlineLevel="0" collapsed="false">
      <c r="F992" s="7"/>
      <c r="H992" s="9"/>
      <c r="J992" s="8"/>
      <c r="K992" s="8"/>
      <c r="M992" s="9"/>
      <c r="P992" s="8"/>
      <c r="Q992" s="8"/>
      <c r="U992" s="0" t="str">
        <f aca="false">IF(A992="","",IF(AND(COUNTIF(Students!$A$2:$A$500,B992)=1,COUNTIF($A$2:$A$1000,A992)=1,ISNUMBER(H992),ISNUMBER(FIND("@",I992))),"OK","CHECK"))</f>
        <v/>
      </c>
    </row>
    <row r="993" customFormat="false" ht="15" hidden="false" customHeight="false" outlineLevel="0" collapsed="false">
      <c r="F993" s="7"/>
      <c r="H993" s="9"/>
      <c r="J993" s="8"/>
      <c r="K993" s="8"/>
      <c r="M993" s="9"/>
      <c r="P993" s="8"/>
      <c r="Q993" s="8"/>
      <c r="U993" s="0" t="str">
        <f aca="false">IF(A993="","",IF(AND(COUNTIF(Students!$A$2:$A$500,B993)=1,COUNTIF($A$2:$A$1000,A993)=1,ISNUMBER(H993),ISNUMBER(FIND("@",I993))),"OK","CHECK"))</f>
        <v/>
      </c>
    </row>
    <row r="994" customFormat="false" ht="15" hidden="false" customHeight="false" outlineLevel="0" collapsed="false">
      <c r="F994" s="7"/>
      <c r="H994" s="9"/>
      <c r="J994" s="8"/>
      <c r="K994" s="8"/>
      <c r="M994" s="9"/>
      <c r="P994" s="8"/>
      <c r="Q994" s="8"/>
      <c r="U994" s="0" t="str">
        <f aca="false">IF(A994="","",IF(AND(COUNTIF(Students!$A$2:$A$500,B994)=1,COUNTIF($A$2:$A$1000,A994)=1,ISNUMBER(H994),ISNUMBER(FIND("@",I994))),"OK","CHECK"))</f>
        <v/>
      </c>
    </row>
    <row r="995" customFormat="false" ht="15" hidden="false" customHeight="false" outlineLevel="0" collapsed="false">
      <c r="F995" s="7"/>
      <c r="H995" s="9"/>
      <c r="J995" s="8"/>
      <c r="K995" s="8"/>
      <c r="M995" s="9"/>
      <c r="P995" s="8"/>
      <c r="Q995" s="8"/>
      <c r="U995" s="0" t="str">
        <f aca="false">IF(A995="","",IF(AND(COUNTIF(Students!$A$2:$A$500,B995)=1,COUNTIF($A$2:$A$1000,A995)=1,ISNUMBER(H995),ISNUMBER(FIND("@",I995))),"OK","CHECK"))</f>
        <v/>
      </c>
    </row>
    <row r="996" customFormat="false" ht="15" hidden="false" customHeight="false" outlineLevel="0" collapsed="false">
      <c r="F996" s="7"/>
      <c r="H996" s="9"/>
      <c r="J996" s="8"/>
      <c r="K996" s="8"/>
      <c r="M996" s="9"/>
      <c r="P996" s="8"/>
      <c r="Q996" s="8"/>
      <c r="U996" s="0" t="str">
        <f aca="false">IF(A996="","",IF(AND(COUNTIF(Students!$A$2:$A$500,B996)=1,COUNTIF($A$2:$A$1000,A996)=1,ISNUMBER(H996),ISNUMBER(FIND("@",I996))),"OK","CHECK"))</f>
        <v/>
      </c>
    </row>
    <row r="997" customFormat="false" ht="15" hidden="false" customHeight="false" outlineLevel="0" collapsed="false">
      <c r="F997" s="7"/>
      <c r="H997" s="9"/>
      <c r="J997" s="8"/>
      <c r="K997" s="8"/>
      <c r="M997" s="9"/>
      <c r="P997" s="8"/>
      <c r="Q997" s="8"/>
      <c r="U997" s="0" t="str">
        <f aca="false">IF(A997="","",IF(AND(COUNTIF(Students!$A$2:$A$500,B997)=1,COUNTIF($A$2:$A$1000,A997)=1,ISNUMBER(H997),ISNUMBER(FIND("@",I997))),"OK","CHECK"))</f>
        <v/>
      </c>
    </row>
    <row r="998" customFormat="false" ht="15" hidden="false" customHeight="false" outlineLevel="0" collapsed="false">
      <c r="F998" s="7"/>
      <c r="H998" s="9"/>
      <c r="J998" s="8"/>
      <c r="K998" s="8"/>
      <c r="M998" s="9"/>
      <c r="P998" s="8"/>
      <c r="Q998" s="8"/>
      <c r="U998" s="0" t="str">
        <f aca="false">IF(A998="","",IF(AND(COUNTIF(Students!$A$2:$A$500,B998)=1,COUNTIF($A$2:$A$1000,A998)=1,ISNUMBER(H998),ISNUMBER(FIND("@",I998))),"OK","CHECK"))</f>
        <v/>
      </c>
    </row>
    <row r="999" customFormat="false" ht="15" hidden="false" customHeight="false" outlineLevel="0" collapsed="false">
      <c r="F999" s="7"/>
      <c r="H999" s="9"/>
      <c r="J999" s="8"/>
      <c r="K999" s="8"/>
      <c r="M999" s="9"/>
      <c r="P999" s="8"/>
      <c r="Q999" s="8"/>
      <c r="U999" s="0" t="str">
        <f aca="false">IF(A999="","",IF(AND(COUNTIF(Students!$A$2:$A$500,B999)=1,COUNTIF($A$2:$A$1000,A999)=1,ISNUMBER(H999),ISNUMBER(FIND("@",I999))),"OK","CHECK"))</f>
        <v/>
      </c>
    </row>
    <row r="1000" customFormat="false" ht="15" hidden="false" customHeight="false" outlineLevel="0" collapsed="false">
      <c r="F1000" s="7"/>
      <c r="H1000" s="9"/>
      <c r="J1000" s="8"/>
      <c r="K1000" s="8"/>
      <c r="M1000" s="9"/>
      <c r="P1000" s="8"/>
      <c r="Q1000" s="8"/>
      <c r="U1000" s="0" t="str">
        <f aca="false">IF(A1000="","",IF(AND(COUNTIF(Students!$A$2:$A$500,B1000)=1,COUNTIF($A$2:$A$1000,A1000)=1,ISNUMBER(H1000),ISNUMBER(FIND("@",I1000))),"OK","CHECK"))</f>
        <v/>
      </c>
    </row>
    <row r="1001" customFormat="false" ht="15" hidden="false" customHeight="false" outlineLevel="0" collapsed="false">
      <c r="F1001" s="7"/>
      <c r="H1001" s="9"/>
      <c r="M1001" s="9"/>
      <c r="U1001" s="0" t="str">
        <f aca="false">IF(A1001="","",IF(AND(COUNTIF(Students!$A$2:$A$500,B1001)=1,COUNTIF($A$2:$A$1000,A1001)=1,ISNUMBER(H1001),ISNUMBER(FIND("@",I1001))),"OK","CHECK"))</f>
        <v/>
      </c>
    </row>
  </sheetData>
  <dataValidations count="4">
    <dataValidation allowBlank="true" errorStyle="stop" operator="between" showDropDown="false" showErrorMessage="false" showInputMessage="false" sqref="J2:J1000" type="list">
      <formula1>"High,Medium,Low"</formula1>
      <formula2>0</formula2>
    </dataValidation>
    <dataValidation allowBlank="true" errorStyle="stop" operator="between" showDropDown="false" showErrorMessage="false" showInputMessage="false" sqref="K2:K1000" type="list">
      <formula1>"Not Started,Assigned,In Progress,Submitted,Under Review,Revision Required,Completed,Overdue,Cancelled"</formula1>
      <formula2>0</formula2>
    </dataValidation>
    <dataValidation allowBlank="true" errorStyle="stop" operator="between" showDropDown="false" showErrorMessage="false" showInputMessage="false" sqref="P2:P1000" type="list">
      <formula1>"Pending,Assignment Sent,Reminder Sent,Overdue Notified,Failed"</formula1>
      <formula2>0</formula2>
    </dataValidation>
    <dataValidation allowBlank="true" errorStyle="stop" operator="between" showDropDown="false" showErrorMessage="false" showInputMessage="false" sqref="Q2:Q1000" type="list">
      <formula1>"Ready,Hold,Processing,Done,Error"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7"/>
  </cols>
  <sheetData>
    <row r="1" customFormat="false" ht="31.5" hidden="false" customHeight="true" outlineLevel="0" collapsed="false">
      <c r="A1" s="5" t="s">
        <v>93</v>
      </c>
      <c r="B1" s="5" t="s">
        <v>24</v>
      </c>
      <c r="C1" s="5" t="s">
        <v>62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6" t="s">
        <v>100</v>
      </c>
    </row>
  </sheetData>
  <dataValidations count="2">
    <dataValidation allowBlank="true" errorStyle="stop" operator="between" showDropDown="false" showErrorMessage="false" showInputMessage="false" sqref="I2:I500" type="list">
      <formula1>"Pending,Mentor Draft,Approved,Received"</formula1>
      <formula2>0</formula2>
    </dataValidation>
    <dataValidation allowBlank="true" errorStyle="stop" operator="between" showDropDown="false" showErrorMessage="false" showInputMessage="false" sqref="J2:J500" type="list">
      <formula1>"Mentor Evaluation,Student Feedback"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1"/>
    <col collapsed="false" customWidth="true" hidden="false" outlineLevel="0" max="5" min="4" style="0" width="16"/>
    <col collapsed="false" customWidth="true" hidden="false" outlineLevel="0" max="6" min="6" style="0" width="21"/>
    <col collapsed="false" customWidth="true" hidden="false" outlineLevel="0" max="7" min="7" style="0" width="27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2" min="12" style="0" width="16"/>
    <col collapsed="false" customWidth="true" hidden="false" outlineLevel="0" max="13" min="13" style="0" width="17"/>
  </cols>
  <sheetData>
    <row r="1" customFormat="false" ht="31.5" hidden="false" customHeight="true" outlineLevel="0" collapsed="false">
      <c r="A1" s="5" t="s">
        <v>24</v>
      </c>
      <c r="B1" s="5" t="s">
        <v>101</v>
      </c>
      <c r="C1" s="5" t="s">
        <v>31</v>
      </c>
      <c r="D1" s="5" t="s">
        <v>32</v>
      </c>
      <c r="E1" s="5" t="s">
        <v>33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107</v>
      </c>
      <c r="L1" s="6" t="s">
        <v>108</v>
      </c>
      <c r="M1" s="6" t="s">
        <v>109</v>
      </c>
    </row>
  </sheetData>
  <dataValidations count="3">
    <dataValidation allowBlank="true" errorStyle="stop" operator="between" showDropDown="false" showErrorMessage="false" showInputMessage="false" sqref="F2:F500" type="list">
      <formula1>"In Progress,Completed,Incomplete"</formula1>
      <formula2>0</formula2>
    </dataValidation>
    <dataValidation allowBlank="true" errorStyle="stop" operator="between" showDropDown="false" showErrorMessage="false" showInputMessage="false" sqref="G2:G500" type="list">
      <formula1>"Not Evaluated,Eligible,Pending Review,Not Eligible"</formula1>
      <formula2>0</formula2>
    </dataValidation>
    <dataValidation allowBlank="true" errorStyle="stop" operator="between" showDropDown="false" showErrorMessage="false" showInputMessage="false" sqref="J2:J500" type="list">
      <formula1>"Pending,Sent,Failed"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6" min="3" style="0" width="16"/>
    <col collapsed="false" customWidth="true" hidden="false" outlineLevel="0" max="7" min="7" style="0" width="17"/>
  </cols>
  <sheetData>
    <row r="1" customFormat="false" ht="31.5" hidden="false" customHeight="true" outlineLevel="0" collapsed="false">
      <c r="A1" s="5" t="s">
        <v>110</v>
      </c>
      <c r="B1" s="5" t="s">
        <v>111</v>
      </c>
      <c r="C1" s="5" t="s">
        <v>24</v>
      </c>
      <c r="D1" s="5" t="s">
        <v>62</v>
      </c>
      <c r="E1" s="5" t="s">
        <v>112</v>
      </c>
      <c r="F1" s="5" t="s">
        <v>113</v>
      </c>
      <c r="G1" s="5" t="s">
        <v>114</v>
      </c>
    </row>
  </sheetData>
  <dataValidations count="1">
    <dataValidation allowBlank="true" errorStyle="stop" operator="between" showDropDown="false" showErrorMessage="false" showInputMessage="false" sqref="F2:F1001" type="list">
      <formula1>"Success,Failed,Skipped"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3" t="s">
        <v>115</v>
      </c>
      <c r="B1" s="3" t="s">
        <v>8</v>
      </c>
      <c r="C1" s="3" t="s">
        <v>116</v>
      </c>
    </row>
    <row r="2" customFormat="false" ht="15" hidden="false" customHeight="false" outlineLevel="0" collapsed="false">
      <c r="A2" s="0" t="s">
        <v>117</v>
      </c>
      <c r="B2" s="0" t="s">
        <v>118</v>
      </c>
      <c r="C2" s="0" t="s">
        <v>119</v>
      </c>
    </row>
    <row r="3" customFormat="false" ht="15" hidden="false" customHeight="false" outlineLevel="0" collapsed="false">
      <c r="A3" s="0" t="s">
        <v>120</v>
      </c>
      <c r="B3" s="0" t="n">
        <v>24</v>
      </c>
      <c r="C3" s="0" t="s">
        <v>121</v>
      </c>
    </row>
    <row r="4" customFormat="false" ht="15" hidden="false" customHeight="false" outlineLevel="0" collapsed="false">
      <c r="A4" s="0" t="s">
        <v>122</v>
      </c>
      <c r="C4" s="0" t="s">
        <v>123</v>
      </c>
    </row>
    <row r="5" customFormat="false" ht="15" hidden="false" customHeight="false" outlineLevel="0" collapsed="false">
      <c r="A5" s="0" t="s">
        <v>124</v>
      </c>
      <c r="C5" s="0" t="s">
        <v>125</v>
      </c>
    </row>
    <row r="6" customFormat="false" ht="15" hidden="false" customHeight="false" outlineLevel="0" collapsed="false">
      <c r="A6" s="0" t="s">
        <v>126</v>
      </c>
      <c r="C6" s="0" t="s">
        <v>127</v>
      </c>
    </row>
    <row r="7" customFormat="false" ht="15" hidden="false" customHeight="false" outlineLevel="0" collapsed="false">
      <c r="A7" s="0" t="s">
        <v>128</v>
      </c>
      <c r="C7" s="0" t="s">
        <v>129</v>
      </c>
    </row>
    <row r="8" customFormat="false" ht="15" hidden="false" customHeight="false" outlineLevel="0" collapsed="false">
      <c r="A8" s="0" t="s">
        <v>130</v>
      </c>
      <c r="C8" s="0" t="s">
        <v>131</v>
      </c>
    </row>
    <row r="9" customFormat="false" ht="15" hidden="false" customHeight="false" outlineLevel="0" collapsed="false">
      <c r="A9" s="0" t="s">
        <v>132</v>
      </c>
      <c r="C9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2026-10-26T06:12:56Z</dcterms:created>
  <dc:creator>openpyxl</dc:creator>
  <dc:description/>
  <dc:language>en-US</dc:language>
  <cp:lastModifiedBy/>
  <dcterms:modified xsi:type="dcterms:W3CDTF">2026-10-26T06:12:56Z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